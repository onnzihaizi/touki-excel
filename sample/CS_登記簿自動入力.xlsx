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dasan/Desktop/"/>
    </mc:Choice>
  </mc:AlternateContent>
  <xr:revisionPtr revIDLastSave="0" documentId="13_ncr:1_{56D24BC9-B2CA-CD49-9F28-86FE1AE54363}" xr6:coauthVersionLast="47" xr6:coauthVersionMax="47" xr10:uidLastSave="{00000000-0000-0000-0000-000000000000}"/>
  <bookViews>
    <workbookView xWindow="0" yWindow="660" windowWidth="34560" windowHeight="20100" xr2:uid="{D8239FF8-0CBD-1E45-B595-17EEB0B6B7DB}"/>
  </bookViews>
  <sheets>
    <sheet name="運用" sheetId="2" r:id="rId1"/>
  </sheets>
  <definedNames>
    <definedName name="a">DATE(YEAR(Loan_Start),MONTH(Loan_Start)+Payment_Number,DAY(Loan_Start))</definedName>
    <definedName name="Beg_Bal">#REF!</definedName>
    <definedName name="daa">#N/A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運用!$A$1:$AA$39</definedName>
    <definedName name="Print_Area_Reset">OFFSET(Full_Print,0,0,Last_Row)</definedName>
    <definedName name="Sched_Pay">#REF!</definedName>
    <definedName name="Scheduled_Extra_Payments">#REF!</definedName>
    <definedName name="Scheduled_Monthly_Payment">#REF!</definedName>
    <definedName name="Total_Pay">#REF!</definedName>
    <definedName name="Total_Payment">Scheduled_Payment+Extra_Payment</definedName>
    <definedName name="Values_Entered">IF(Loan_Amount*Interest_Rate*Loan_Years*Loan_Start&gt;0,1,0)</definedName>
    <definedName name="あ">IF(Loan_Amount*Interest_Rate*Loan_Years*Loan_Start&gt;0,1,0)</definedName>
    <definedName name="ああ">MATCH(0.01,End_Bal,-1)+1</definedName>
    <definedName name="あああ">DATE(YEAR([0]!Loan_Start),MONTH([0]!Loan_Start)+Payment_Number,DAY([0]!Loan_Start))</definedName>
    <definedName name="繰上返済">Scheduled_Payment+Extra_Payment</definedName>
    <definedName name="清算説明">#N/A</definedName>
    <definedName name="買主様の収支">DATE(YEAR([0]!Loan_Start),MONTH([0]!Loan_Start)+Payment_Number,DAY([0]!Loan_Start))</definedName>
    <definedName name="敷金等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2" l="1"/>
  <c r="AY12" i="2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U63" i="2"/>
  <c r="R63" i="2"/>
  <c r="O63" i="2"/>
  <c r="L63" i="2"/>
  <c r="I63" i="2"/>
  <c r="F63" i="2"/>
  <c r="C63" i="2"/>
  <c r="U62" i="2"/>
  <c r="R62" i="2"/>
  <c r="O62" i="2"/>
  <c r="L62" i="2"/>
  <c r="I62" i="2"/>
  <c r="F62" i="2"/>
  <c r="C62" i="2"/>
  <c r="U61" i="2"/>
  <c r="R61" i="2"/>
  <c r="O61" i="2"/>
  <c r="L61" i="2"/>
  <c r="I61" i="2"/>
  <c r="F61" i="2"/>
  <c r="C61" i="2"/>
  <c r="U57" i="2"/>
  <c r="U56" i="2"/>
  <c r="U55" i="2"/>
  <c r="R55" i="2"/>
  <c r="O55" i="2"/>
  <c r="L55" i="2"/>
  <c r="F55" i="2"/>
  <c r="V53" i="2"/>
  <c r="S53" i="2"/>
  <c r="R56" i="2" s="1"/>
  <c r="R57" i="2" s="1"/>
  <c r="P53" i="2"/>
  <c r="O56" i="2" s="1"/>
  <c r="O57" i="2" s="1"/>
  <c r="M53" i="2"/>
  <c r="L56" i="2" s="1"/>
  <c r="L57" i="2" s="1"/>
  <c r="J53" i="2"/>
  <c r="I56" i="2" s="1"/>
  <c r="I57" i="2" s="1"/>
  <c r="G53" i="2"/>
  <c r="F56" i="2" s="1"/>
  <c r="F57" i="2" s="1"/>
  <c r="D53" i="2"/>
  <c r="C56" i="2" s="1"/>
  <c r="C57" i="2" s="1"/>
  <c r="U52" i="2"/>
  <c r="R52" i="2"/>
  <c r="O52" i="2"/>
  <c r="L52" i="2"/>
  <c r="I52" i="2"/>
  <c r="F52" i="2"/>
  <c r="C52" i="2"/>
  <c r="V47" i="2"/>
  <c r="S47" i="2"/>
  <c r="P47" i="2"/>
  <c r="M47" i="2"/>
  <c r="J47" i="2"/>
  <c r="G47" i="2"/>
  <c r="D47" i="2"/>
  <c r="U44" i="2"/>
  <c r="R44" i="2"/>
  <c r="O44" i="2"/>
  <c r="L44" i="2"/>
  <c r="I44" i="2"/>
  <c r="F44" i="2"/>
  <c r="C44" i="2"/>
  <c r="U41" i="2"/>
  <c r="W41" i="2" s="1"/>
  <c r="R41" i="2"/>
  <c r="T41" i="2" s="1"/>
  <c r="O41" i="2"/>
  <c r="Q41" i="2" s="1"/>
  <c r="L41" i="2"/>
  <c r="N41" i="2" s="1"/>
  <c r="I41" i="2"/>
  <c r="K41" i="2" s="1"/>
  <c r="F41" i="2"/>
  <c r="H41" i="2" s="1"/>
  <c r="C41" i="2"/>
  <c r="E41" i="2" s="1"/>
  <c r="W34" i="2"/>
  <c r="U35" i="2" s="1"/>
  <c r="T34" i="2"/>
  <c r="R35" i="2" s="1"/>
  <c r="Q34" i="2"/>
  <c r="O35" i="2" s="1"/>
  <c r="O36" i="2" s="1"/>
  <c r="N34" i="2"/>
  <c r="K34" i="2"/>
  <c r="I35" i="2" s="1"/>
  <c r="H34" i="2"/>
  <c r="E34" i="2"/>
  <c r="C35" i="2" s="1"/>
  <c r="C37" i="2" s="1"/>
  <c r="U32" i="2"/>
  <c r="R32" i="2"/>
  <c r="O32" i="2"/>
  <c r="L32" i="2"/>
  <c r="I32" i="2"/>
  <c r="F32" i="2"/>
  <c r="X30" i="2"/>
  <c r="X26" i="2"/>
  <c r="W25" i="2"/>
  <c r="T25" i="2"/>
  <c r="Q25" i="2"/>
  <c r="N25" i="2"/>
  <c r="K25" i="2"/>
  <c r="H25" i="2"/>
  <c r="E25" i="2"/>
  <c r="X19" i="2"/>
  <c r="AZ18" i="2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I55" i="2"/>
  <c r="C55" i="2"/>
  <c r="AZ17" i="2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AE17" i="2"/>
  <c r="X17" i="2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AG16" i="2"/>
  <c r="AY15" i="2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AY13" i="2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V11" i="2"/>
  <c r="S11" i="2"/>
  <c r="P11" i="2"/>
  <c r="M11" i="2"/>
  <c r="J11" i="2"/>
  <c r="G11" i="2"/>
  <c r="D11" i="2"/>
  <c r="AN8" i="2"/>
  <c r="AM8" i="2"/>
  <c r="AL8" i="2"/>
  <c r="AK8" i="2"/>
  <c r="G8" i="2"/>
  <c r="D8" i="2"/>
  <c r="W7" i="2"/>
  <c r="V8" i="2" s="1"/>
  <c r="T7" i="2"/>
  <c r="S8" i="2" s="1"/>
  <c r="Q7" i="2"/>
  <c r="P8" i="2" s="1"/>
  <c r="N7" i="2"/>
  <c r="M8" i="2" s="1"/>
  <c r="K7" i="2"/>
  <c r="J8" i="2" s="1"/>
  <c r="H7" i="2"/>
  <c r="E7" i="2"/>
  <c r="C7" i="2"/>
  <c r="AB4" i="2"/>
  <c r="AB5" i="2" s="1"/>
  <c r="AB17" i="2" s="1"/>
  <c r="N23" i="2" l="1"/>
  <c r="AD16" i="2"/>
  <c r="AB16" i="2" s="1"/>
  <c r="AK10" i="2" s="1"/>
  <c r="W23" i="2"/>
  <c r="U37" i="2" s="1"/>
  <c r="L35" i="2"/>
  <c r="L36" i="2" s="1"/>
  <c r="F35" i="2"/>
  <c r="K23" i="2"/>
  <c r="I37" i="2" s="1"/>
  <c r="Q23" i="2"/>
  <c r="O37" i="2" s="1"/>
  <c r="T23" i="2"/>
  <c r="R37" i="2" s="1"/>
  <c r="H23" i="2"/>
  <c r="R36" i="2"/>
  <c r="U36" i="2"/>
  <c r="C36" i="2"/>
  <c r="I36" i="2"/>
  <c r="AH17" i="2"/>
  <c r="X35" i="2" l="1"/>
  <c r="F37" i="2"/>
  <c r="F36" i="2"/>
  <c r="X36" i="2" s="1"/>
  <c r="L37" i="2"/>
  <c r="X37" i="2" l="1"/>
  <c r="CK22" i="2"/>
  <c r="BU22" i="2"/>
  <c r="BE22" i="2"/>
  <c r="CJ22" i="2"/>
  <c r="BT22" i="2"/>
  <c r="BD22" i="2"/>
  <c r="CI22" i="2"/>
  <c r="BS22" i="2"/>
  <c r="BC22" i="2"/>
  <c r="CH22" i="2"/>
  <c r="BR22" i="2"/>
  <c r="BB22" i="2"/>
  <c r="CG22" i="2"/>
  <c r="BQ22" i="2"/>
  <c r="BA22" i="2"/>
  <c r="CV22" i="2"/>
  <c r="CF22" i="2"/>
  <c r="BP22" i="2"/>
  <c r="AZ22" i="2"/>
  <c r="CU22" i="2"/>
  <c r="CE22" i="2"/>
  <c r="BO22" i="2"/>
  <c r="AY22" i="2"/>
  <c r="CT22" i="2"/>
  <c r="CD22" i="2"/>
  <c r="BN22" i="2"/>
  <c r="CS22" i="2"/>
  <c r="CC22" i="2"/>
  <c r="BM22" i="2"/>
  <c r="CR22" i="2"/>
  <c r="CB22" i="2"/>
  <c r="BL22" i="2"/>
  <c r="CQ22" i="2"/>
  <c r="CA22" i="2"/>
  <c r="BK22" i="2"/>
  <c r="CP22" i="2"/>
  <c r="BZ22" i="2"/>
  <c r="BJ22" i="2"/>
  <c r="CO22" i="2"/>
  <c r="BY22" i="2"/>
  <c r="BI22" i="2"/>
  <c r="CN22" i="2"/>
  <c r="BX22" i="2"/>
  <c r="BH22" i="2"/>
  <c r="CM22" i="2"/>
  <c r="BW22" i="2"/>
  <c r="BG22" i="2"/>
  <c r="CL22" i="2"/>
  <c r="BV22" i="2"/>
  <c r="BF22" i="2"/>
  <c r="AJ16" i="2" l="1"/>
  <c r="AK17" i="2" s="1"/>
  <c r="AK16" i="2"/>
</calcChain>
</file>

<file path=xl/sharedStrings.xml><?xml version="1.0" encoding="utf-8"?>
<sst xmlns="http://schemas.openxmlformats.org/spreadsheetml/2006/main" count="136" uniqueCount="70">
  <si>
    <t>物件概要</t>
    <rPh sb="0" eb="4">
      <t>ブッケンガイヨウ</t>
    </rPh>
    <phoneticPr fontId="8"/>
  </si>
  <si>
    <t>管理会社</t>
    <rPh sb="0" eb="2">
      <t>カンリ</t>
    </rPh>
    <rPh sb="2" eb="4">
      <t>ガイシャ</t>
    </rPh>
    <phoneticPr fontId="8"/>
  </si>
  <si>
    <t>賃貸管理会社</t>
    <phoneticPr fontId="8"/>
  </si>
  <si>
    <t>建物管理会社</t>
    <rPh sb="0" eb="2">
      <t>タテモノ</t>
    </rPh>
    <rPh sb="2" eb="4">
      <t>カンリ</t>
    </rPh>
    <rPh sb="4" eb="6">
      <t>ガイシャ</t>
    </rPh>
    <phoneticPr fontId="8"/>
  </si>
  <si>
    <t>ローン概要</t>
    <rPh sb="3" eb="5">
      <t>ガイヨウ</t>
    </rPh>
    <phoneticPr fontId="8"/>
  </si>
  <si>
    <t>ローン会社</t>
    <rPh sb="3" eb="5">
      <t>カイシャ</t>
    </rPh>
    <phoneticPr fontId="8"/>
  </si>
  <si>
    <t>融資額</t>
    <rPh sb="0" eb="2">
      <t>ユウシ</t>
    </rPh>
    <rPh sb="2" eb="3">
      <t>ガク</t>
    </rPh>
    <phoneticPr fontId="8"/>
  </si>
  <si>
    <t>ご残債</t>
    <rPh sb="1" eb="3">
      <t>ザンサイ</t>
    </rPh>
    <phoneticPr fontId="8"/>
  </si>
  <si>
    <t>頭金(万)</t>
    <rPh sb="0" eb="2">
      <t>アタマキン</t>
    </rPh>
    <rPh sb="3" eb="4">
      <t>マン</t>
    </rPh>
    <phoneticPr fontId="8"/>
  </si>
  <si>
    <t>借換時期</t>
    <rPh sb="0" eb="2">
      <t>カリカエ</t>
    </rPh>
    <rPh sb="2" eb="4">
      <t>ジキ</t>
    </rPh>
    <phoneticPr fontId="8"/>
  </si>
  <si>
    <t>金利</t>
    <rPh sb="0" eb="2">
      <t>キンリ</t>
    </rPh>
    <phoneticPr fontId="8"/>
  </si>
  <si>
    <t>返済期間</t>
    <rPh sb="0" eb="2">
      <t>ヘンサイ</t>
    </rPh>
    <rPh sb="2" eb="4">
      <t>キカン</t>
    </rPh>
    <phoneticPr fontId="8"/>
  </si>
  <si>
    <t>～</t>
  </si>
  <si>
    <t>収入</t>
    <rPh sb="0" eb="2">
      <t>シュウニュウ</t>
    </rPh>
    <phoneticPr fontId="8"/>
  </si>
  <si>
    <t>家賃</t>
    <rPh sb="0" eb="2">
      <t>ヤチン</t>
    </rPh>
    <phoneticPr fontId="8"/>
  </si>
  <si>
    <t>ローン返済額</t>
    <rPh sb="3" eb="5">
      <t>ヘンサイ</t>
    </rPh>
    <rPh sb="5" eb="6">
      <t>ガク</t>
    </rPh>
    <phoneticPr fontId="8"/>
  </si>
  <si>
    <t>支出</t>
    <rPh sb="0" eb="2">
      <t>シシュツ</t>
    </rPh>
    <phoneticPr fontId="8"/>
  </si>
  <si>
    <t>管理費</t>
    <rPh sb="0" eb="3">
      <t>カンリヒ</t>
    </rPh>
    <phoneticPr fontId="8"/>
  </si>
  <si>
    <t>修繕費</t>
    <rPh sb="0" eb="3">
      <t>シュウゼンヒ</t>
    </rPh>
    <phoneticPr fontId="8"/>
  </si>
  <si>
    <r>
      <t>その他</t>
    </r>
    <r>
      <rPr>
        <b/>
        <sz val="10"/>
        <rFont val="BIZ UDPゴシック"/>
        <family val="3"/>
        <charset val="128"/>
      </rPr>
      <t>(保険)</t>
    </r>
    <rPh sb="2" eb="3">
      <t>タ</t>
    </rPh>
    <rPh sb="4" eb="6">
      <t>ホケン</t>
    </rPh>
    <phoneticPr fontId="8"/>
  </si>
  <si>
    <t>手数料</t>
    <rPh sb="0" eb="3">
      <t>テスウリョウ</t>
    </rPh>
    <phoneticPr fontId="8"/>
  </si>
  <si>
    <t>固定資産税</t>
    <rPh sb="0" eb="5">
      <t>コテイシサンゼイ</t>
    </rPh>
    <phoneticPr fontId="8"/>
  </si>
  <si>
    <t>収支</t>
    <rPh sb="0" eb="2">
      <t>シュウシ</t>
    </rPh>
    <phoneticPr fontId="8"/>
  </si>
  <si>
    <t>月間</t>
    <rPh sb="0" eb="2">
      <t>ゲッカン</t>
    </rPh>
    <phoneticPr fontId="8"/>
  </si>
  <si>
    <t>年間</t>
    <rPh sb="0" eb="2">
      <t>ネンカン</t>
    </rPh>
    <phoneticPr fontId="8"/>
  </si>
  <si>
    <t>完済までの
確定損益額</t>
    <rPh sb="0" eb="2">
      <t>カンサイ</t>
    </rPh>
    <rPh sb="6" eb="8">
      <t>カクテイ</t>
    </rPh>
    <rPh sb="8" eb="10">
      <t>ソンエキ</t>
    </rPh>
    <rPh sb="10" eb="11">
      <t>ガク</t>
    </rPh>
    <phoneticPr fontId="8"/>
  </si>
  <si>
    <t>駅徒歩</t>
    <rPh sb="0" eb="3">
      <t>エキトホ</t>
    </rPh>
    <phoneticPr fontId="8"/>
  </si>
  <si>
    <t>物件住所</t>
    <rPh sb="0" eb="2">
      <t>ブッケン</t>
    </rPh>
    <rPh sb="2" eb="4">
      <t>ジュウショ</t>
    </rPh>
    <phoneticPr fontId="8"/>
  </si>
  <si>
    <t>資産運用コンサルティングシート</t>
    <rPh sb="0" eb="2">
      <t>シサン</t>
    </rPh>
    <rPh sb="2" eb="4">
      <t>ウンヨウ</t>
    </rPh>
    <phoneticPr fontId="8"/>
  </si>
  <si>
    <t>様</t>
    <rPh sb="0" eb="1">
      <t>サマ</t>
    </rPh>
    <phoneticPr fontId="8"/>
  </si>
  <si>
    <t>株式会社エルズホーム</t>
  </si>
  <si>
    <t>1.　現在の運用状況</t>
    <rPh sb="3" eb="5">
      <t>ゲンザイ</t>
    </rPh>
    <rPh sb="6" eb="8">
      <t>ウンヨウ</t>
    </rPh>
    <rPh sb="8" eb="10">
      <t>ジョウキョウ</t>
    </rPh>
    <phoneticPr fontId="8"/>
  </si>
  <si>
    <t>〒153-0043　東京都目黒区東山1-4-4</t>
  </si>
  <si>
    <t>TEL：03-5794-5151　FAX：03-5794-5161</t>
    <phoneticPr fontId="8"/>
  </si>
  <si>
    <t>■年表</t>
    <rPh sb="1" eb="3">
      <t>ネンピョウ</t>
    </rPh>
    <phoneticPr fontId="8"/>
  </si>
  <si>
    <t>購入時の築年数</t>
    <rPh sb="0" eb="3">
      <t>コウニュウジ</t>
    </rPh>
    <rPh sb="4" eb="7">
      <t>チクネンスウ</t>
    </rPh>
    <phoneticPr fontId="8"/>
  </si>
  <si>
    <t>35年ローンの場合：</t>
    <rPh sb="2" eb="3">
      <t>ネン</t>
    </rPh>
    <rPh sb="7" eb="9">
      <t>バアイ</t>
    </rPh>
    <phoneticPr fontId="8"/>
  </si>
  <si>
    <t>Maxローン年数 ：</t>
    <rPh sb="6" eb="8">
      <t>ネンスウ</t>
    </rPh>
    <phoneticPr fontId="8"/>
  </si>
  <si>
    <t>※不明な場合は購入時期に直接入力</t>
    <rPh sb="1" eb="3">
      <t>フメイ</t>
    </rPh>
    <rPh sb="4" eb="6">
      <t>バアイ</t>
    </rPh>
    <rPh sb="7" eb="11">
      <t>コウニュウジキ</t>
    </rPh>
    <rPh sb="12" eb="16">
      <t>チョクセツニュウリョク</t>
    </rPh>
    <phoneticPr fontId="8"/>
  </si>
  <si>
    <t>2022年</t>
    <rPh sb="4" eb="5">
      <t>ネン</t>
    </rPh>
    <phoneticPr fontId="8"/>
  </si>
  <si>
    <t>ご年齢表</t>
    <rPh sb="1" eb="3">
      <t>ネンレイ</t>
    </rPh>
    <rPh sb="3" eb="4">
      <t>ヒョウ</t>
    </rPh>
    <phoneticPr fontId="8"/>
  </si>
  <si>
    <t>年表</t>
    <rPh sb="0" eb="2">
      <t>ネンピョウ</t>
    </rPh>
    <phoneticPr fontId="8"/>
  </si>
  <si>
    <t>購入時期</t>
    <rPh sb="0" eb="2">
      <t>コウニュウ</t>
    </rPh>
    <rPh sb="2" eb="4">
      <t>ジキ</t>
    </rPh>
    <phoneticPr fontId="8"/>
  </si>
  <si>
    <t>→</t>
    <phoneticPr fontId="8"/>
  </si>
  <si>
    <t>現在</t>
    <rPh sb="0" eb="2">
      <t>ゲンザイ</t>
    </rPh>
    <phoneticPr fontId="8"/>
  </si>
  <si>
    <t>退職</t>
    <rPh sb="0" eb="2">
      <t>タイショク</t>
    </rPh>
    <phoneticPr fontId="8"/>
  </si>
  <si>
    <t>完済</t>
    <rPh sb="0" eb="2">
      <t>カンサイ</t>
    </rPh>
    <phoneticPr fontId="8"/>
  </si>
  <si>
    <t>オーナー様</t>
    <rPh sb="4" eb="5">
      <t>サマ</t>
    </rPh>
    <phoneticPr fontId="8"/>
  </si>
  <si>
    <t>い</t>
    <phoneticPr fontId="8"/>
  </si>
  <si>
    <t>う</t>
    <phoneticPr fontId="8"/>
  </si>
  <si>
    <t>え</t>
    <phoneticPr fontId="8"/>
  </si>
  <si>
    <t>ライフイベント</t>
    <phoneticPr fontId="8"/>
  </si>
  <si>
    <t>TOTAL 収支</t>
    <rPh sb="6" eb="8">
      <t>シュウシ</t>
    </rPh>
    <phoneticPr fontId="8"/>
  </si>
  <si>
    <t>合計の収支</t>
    <rPh sb="0" eb="2">
      <t>ゴウケイ</t>
    </rPh>
    <rPh sb="3" eb="5">
      <t>シュウシ</t>
    </rPh>
    <phoneticPr fontId="8"/>
  </si>
  <si>
    <t>※すべて想定の数値です。</t>
    <rPh sb="4" eb="6">
      <t>ソウテイ</t>
    </rPh>
    <rPh sb="7" eb="9">
      <t>スウチ</t>
    </rPh>
    <phoneticPr fontId="8"/>
  </si>
  <si>
    <t>ATBB</t>
    <phoneticPr fontId="8"/>
  </si>
  <si>
    <t>日付</t>
    <rPh sb="0" eb="2">
      <t>ヒヅケ</t>
    </rPh>
    <phoneticPr fontId="8"/>
  </si>
  <si>
    <t>管積</t>
    <rPh sb="0" eb="2">
      <t>カンツミ</t>
    </rPh>
    <phoneticPr fontId="8"/>
  </si>
  <si>
    <t>㎡計算</t>
    <rPh sb="1" eb="3">
      <t>ケイサン</t>
    </rPh>
    <phoneticPr fontId="8"/>
  </si>
  <si>
    <t>備考</t>
    <rPh sb="0" eb="2">
      <t>ビコウ</t>
    </rPh>
    <phoneticPr fontId="8"/>
  </si>
  <si>
    <t>残債</t>
    <rPh sb="0" eb="2">
      <t>ザンサイ</t>
    </rPh>
    <phoneticPr fontId="8"/>
  </si>
  <si>
    <t>元金</t>
    <rPh sb="0" eb="2">
      <t>ガンキン</t>
    </rPh>
    <phoneticPr fontId="8"/>
  </si>
  <si>
    <t>1カ月元金減り</t>
    <rPh sb="2" eb="3">
      <t>ゲツ</t>
    </rPh>
    <rPh sb="3" eb="5">
      <t>ガンキン</t>
    </rPh>
    <rPh sb="5" eb="6">
      <t>ヘ</t>
    </rPh>
    <phoneticPr fontId="8"/>
  </si>
  <si>
    <t>1年元金減り</t>
    <rPh sb="1" eb="2">
      <t>ネン</t>
    </rPh>
    <rPh sb="2" eb="4">
      <t>ガンキン</t>
    </rPh>
    <rPh sb="4" eb="5">
      <t>ヘ</t>
    </rPh>
    <phoneticPr fontId="8"/>
  </si>
  <si>
    <t>購入</t>
    <rPh sb="0" eb="2">
      <t>コウニュウ</t>
    </rPh>
    <phoneticPr fontId="8"/>
  </si>
  <si>
    <t>譲渡税時期</t>
    <rPh sb="0" eb="3">
      <t>ジョウトゼイ</t>
    </rPh>
    <rPh sb="3" eb="5">
      <t>ジキ</t>
    </rPh>
    <phoneticPr fontId="8"/>
  </si>
  <si>
    <t>購入時築</t>
    <rPh sb="0" eb="3">
      <t>コウニュウジ</t>
    </rPh>
    <rPh sb="3" eb="4">
      <t>チク</t>
    </rPh>
    <phoneticPr fontId="8"/>
  </si>
  <si>
    <t>完済時築</t>
    <rPh sb="0" eb="3">
      <t>カンサイジ</t>
    </rPh>
    <rPh sb="3" eb="4">
      <t>チク</t>
    </rPh>
    <phoneticPr fontId="8"/>
  </si>
  <si>
    <t>集金代行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</si>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</sst>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###0&quot;階建&quot;"/>
    <numFmt numFmtId="177" formatCode="#,##0&quot;戸&quot;"/>
    <numFmt numFmtId="178" formatCode="###0&quot;号室&quot;"/>
    <numFmt numFmtId="179" formatCode="###0&quot;年築&quot;"/>
    <numFmt numFmtId="180" formatCode="&quot;築&quot;###0&quot;年&quot;"/>
    <numFmt numFmtId="181" formatCode="#,##0.00&quot;㎡&quot;"/>
    <numFmt numFmtId="182" formatCode="#,##0&quot;円&quot;"/>
    <numFmt numFmtId="183" formatCode="yyyy&quot;年&quot;m&quot;月時点&quot;"/>
    <numFmt numFmtId="184" formatCode="0&quot;万&quot;"/>
    <numFmt numFmtId="185" formatCode="yyyy&quot;年&quot;m&quot;月&quot;&quot;に&quot;&quot;借&quot;&quot;換&quot;"/>
    <numFmt numFmtId="186" formatCode="0.000%"/>
    <numFmt numFmtId="187" formatCode="yyyy&quot;年&quot;m&quot;月&quot;;@"/>
    <numFmt numFmtId="188" formatCode="&quot;残&quot;General&quot;ヶ月&quot;"/>
    <numFmt numFmtId="189" formatCode="General&quot;年&quot;"/>
    <numFmt numFmtId="190" formatCode="#,##0&quot;円／年&quot;"/>
    <numFmt numFmtId="191" formatCode="#,##0&quot;円／月&quot;"/>
    <numFmt numFmtId="192" formatCode="General&quot;様&quot;"/>
    <numFmt numFmtId="193" formatCode="m&quot;月&quot;d&quot;日&quot;;@"/>
    <numFmt numFmtId="194" formatCode="&quot;築&quot;###0&quot;年の時に購入&quot;"/>
    <numFmt numFmtId="195" formatCode="0&quot;年&quot;"/>
    <numFmt numFmtId="196" formatCode="0&quot;年&quot;&quot;後&quot;"/>
    <numFmt numFmtId="197" formatCode="0&quot;歳&quot;"/>
    <numFmt numFmtId="198" formatCode="&quot;&quot;0&quot;年&quot;"/>
    <numFmt numFmtId="199" formatCode="0_ "/>
  </numFmts>
  <fonts count="48">
    <font>
      <sz val="12"/>
      <color theme="1"/>
      <name val="游ゴシック"/>
      <family val="2"/>
      <charset val="128"/>
      <scheme val="minor"/>
    </font>
    <font>
      <b/>
      <sz val="28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b/>
      <sz val="14"/>
      <name val="BIZ UDPゴシック"/>
      <family val="3"/>
      <charset val="128"/>
    </font>
    <font>
      <sz val="28"/>
      <name val="BIZ UDPゴシック"/>
      <family val="3"/>
      <charset val="128"/>
    </font>
    <font>
      <sz val="14"/>
      <name val="BIZ UDPゴシック"/>
      <family val="3"/>
      <charset val="128"/>
    </font>
    <font>
      <sz val="12"/>
      <name val="BIZ UDPゴシック"/>
      <family val="3"/>
      <charset val="128"/>
    </font>
    <font>
      <b/>
      <sz val="16"/>
      <name val="BIZ UDPゴシック"/>
      <family val="3"/>
      <charset val="128"/>
    </font>
    <font>
      <sz val="6"/>
      <name val="ＭＳ Ｐゴシック"/>
      <family val="3"/>
      <charset val="128"/>
    </font>
    <font>
      <sz val="16"/>
      <name val="BIZ UDPゴシック"/>
      <family val="3"/>
      <charset val="128"/>
    </font>
    <font>
      <b/>
      <sz val="18"/>
      <name val="BIZ UDPゴシック"/>
      <family val="3"/>
      <charset val="128"/>
    </font>
    <font>
      <sz val="20"/>
      <name val="BIZ UDPゴシック"/>
      <family val="3"/>
      <charset val="128"/>
    </font>
    <font>
      <sz val="24"/>
      <name val="BIZ UDPゴシック"/>
      <family val="3"/>
      <charset val="128"/>
    </font>
    <font>
      <b/>
      <sz val="22"/>
      <name val="BIZ UDPゴシック"/>
      <family val="3"/>
      <charset val="128"/>
    </font>
    <font>
      <b/>
      <sz val="20"/>
      <name val="BIZ UDPゴシック"/>
      <family val="3"/>
      <charset val="128"/>
    </font>
    <font>
      <sz val="16"/>
      <color rgb="FF0000FF"/>
      <name val="BIZ UDPゴシック"/>
      <family val="3"/>
      <charset val="128"/>
    </font>
    <font>
      <sz val="20"/>
      <color rgb="FF0000FF"/>
      <name val="BIZ UDPゴシック"/>
      <family val="3"/>
      <charset val="128"/>
    </font>
    <font>
      <sz val="20"/>
      <color rgb="FFFF0000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26"/>
      <name val="BIZ UDP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1" tint="0.34998626667073579"/>
      <name val="BIZ UDPゴシック"/>
      <family val="3"/>
      <charset val="128"/>
    </font>
    <font>
      <sz val="12"/>
      <color theme="1" tint="0.34998626667073579"/>
      <name val="BIZ UDPゴシック"/>
      <family val="3"/>
      <charset val="128"/>
    </font>
    <font>
      <sz val="11"/>
      <name val="BIZ UDPゴシック"/>
      <family val="3"/>
      <charset val="128"/>
    </font>
    <font>
      <sz val="20"/>
      <color indexed="8"/>
      <name val="BIZ UDPゴシック"/>
      <family val="3"/>
      <charset val="128"/>
    </font>
    <font>
      <sz val="44"/>
      <name val="BIZ UDPゴシック"/>
      <family val="3"/>
      <charset val="128"/>
    </font>
    <font>
      <sz val="36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10"/>
      <name val="BIZ UDPゴシック"/>
      <family val="3"/>
      <charset val="128"/>
    </font>
    <font>
      <sz val="48"/>
      <name val="BIZ UDPゴシック"/>
      <family val="3"/>
      <charset val="128"/>
    </font>
    <font>
      <sz val="18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44"/>
      <color theme="0"/>
      <name val="BIZ UDPゴシック"/>
      <family val="3"/>
      <charset val="128"/>
    </font>
    <font>
      <b/>
      <sz val="12"/>
      <name val="BIZ UDPゴシック"/>
      <family val="3"/>
      <charset val="128"/>
    </font>
    <font>
      <sz val="16"/>
      <color theme="0" tint="-0.249977111117893"/>
      <name val="BIZ UDPゴシック"/>
      <family val="3"/>
      <charset val="128"/>
    </font>
    <font>
      <b/>
      <sz val="9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name val="BIZ UDPゴシック"/>
      <family val="3"/>
      <charset val="128"/>
    </font>
    <font>
      <b/>
      <sz val="36"/>
      <name val="BIZ UDPゴシック"/>
      <family val="3"/>
      <charset val="128"/>
    </font>
    <font>
      <b/>
      <sz val="26"/>
      <color rgb="FFFF0000"/>
      <name val="BIZ UDPゴシック"/>
      <family val="3"/>
      <charset val="128"/>
    </font>
    <font>
      <sz val="26"/>
      <color rgb="FFFF0000"/>
      <name val="BIZ UDPゴシック"/>
      <family val="3"/>
      <charset val="128"/>
    </font>
    <font>
      <sz val="16"/>
      <color theme="0" tint="-4.9989318521683403E-2"/>
      <name val="BIZ UDPゴシック"/>
      <family val="3"/>
      <charset val="128"/>
    </font>
    <font>
      <sz val="36"/>
      <color theme="0" tint="-4.9989318521683403E-2"/>
      <name val="BIZ UDPゴシック"/>
      <family val="3"/>
      <charset val="128"/>
    </font>
    <font>
      <b/>
      <sz val="24"/>
      <name val="BIZ UDPゴシック"/>
      <family val="3"/>
      <charset val="128"/>
    </font>
    <font>
      <sz val="22"/>
      <color rgb="FF0000FF"/>
      <name val="BIZ UDPゴシック"/>
      <family val="3"/>
      <charset val="128"/>
    </font>
    <font>
      <sz val="22"/>
      <color rgb="FFFF0000"/>
      <name val="BIZ UDPゴシック"/>
      <family val="3"/>
      <charset val="128"/>
    </font>
    <font>
      <sz val="10"/>
      <name val="游ゴシック"/>
      <family val="1"/>
      <scheme val="minor"/>
    </font>
    <font>
      <sz val="22"/>
      <name val="BIZ UDP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6933C"/>
        <bgColor rgb="FF000000"/>
      </patternFill>
    </fill>
    <fill>
      <patternFill patternType="solid">
        <fgColor rgb="FFEBF1DE"/>
        <bgColor rgb="FF000000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double">
        <color rgb="FFFF0000"/>
      </bottom>
      <diagonal/>
    </border>
    <border>
      <left/>
      <right/>
      <top style="medium">
        <color rgb="FFFF0000"/>
      </top>
      <bottom style="double">
        <color rgb="FFFF0000"/>
      </bottom>
      <diagonal/>
    </border>
    <border>
      <left/>
      <right style="medium">
        <color rgb="FFFF0000"/>
      </right>
      <top style="medium">
        <color rgb="FFFF0000"/>
      </top>
      <bottom style="double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20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46" fillId="0" borderId="0"/>
  </cellStyleXfs>
  <cellXfs count="290">
    <xf numFmtId="0" fontId="0" fillId="0" borderId="0" xfId="0">
      <alignment vertical="center"/>
    </xf>
    <xf numFmtId="0" fontId="22" fillId="7" borderId="0" xfId="1" applyFont="1" applyFill="1" applyAlignment="1" applyProtection="1">
      <alignment horizontal="left" vertical="center" wrapText="1"/>
      <protection locked="0"/>
    </xf>
    <xf numFmtId="0" fontId="22" fillId="7" borderId="0" xfId="1" applyFont="1" applyFill="1" applyProtection="1">
      <alignment vertical="center"/>
      <protection locked="0"/>
    </xf>
    <xf numFmtId="0" fontId="22" fillId="0" borderId="0" xfId="1" applyFont="1" applyProtection="1">
      <alignment vertical="center"/>
      <protection locked="0"/>
    </xf>
    <xf numFmtId="0" fontId="23" fillId="0" borderId="0" xfId="1" applyFont="1" applyProtection="1">
      <alignment vertical="center"/>
      <protection locked="0"/>
    </xf>
    <xf numFmtId="0" fontId="4" fillId="0" borderId="0" xfId="1" applyFont="1" applyAlignment="1" applyProtection="1">
      <alignment horizontal="center" vertical="center" shrinkToFit="1"/>
      <protection locked="0"/>
    </xf>
    <xf numFmtId="187" fontId="28" fillId="0" borderId="0" xfId="1" applyNumberFormat="1" applyFont="1" applyProtection="1">
      <alignment vertical="center"/>
      <protection locked="0"/>
    </xf>
    <xf numFmtId="0" fontId="23" fillId="0" borderId="0" xfId="1" applyFont="1" applyAlignment="1" applyProtection="1">
      <alignment horizontal="center" vertical="center"/>
      <protection locked="0"/>
    </xf>
    <xf numFmtId="187" fontId="23" fillId="0" borderId="0" xfId="1" applyNumberFormat="1" applyFont="1" applyAlignment="1" applyProtection="1">
      <alignment horizontal="center" vertical="center"/>
      <protection locked="0"/>
    </xf>
    <xf numFmtId="0" fontId="25" fillId="3" borderId="53" xfId="1" applyFont="1" applyFill="1" applyBorder="1" applyAlignment="1" applyProtection="1">
      <alignment horizontal="center" wrapText="1"/>
      <protection locked="0"/>
    </xf>
    <xf numFmtId="189" fontId="30" fillId="0" borderId="53" xfId="1" applyNumberFormat="1" applyFont="1" applyBorder="1" applyAlignment="1" applyProtection="1">
      <alignment horizontal="right" vertical="center" shrinkToFit="1"/>
      <protection locked="0"/>
    </xf>
    <xf numFmtId="0" fontId="31" fillId="0" borderId="53" xfId="1" applyFont="1" applyBorder="1" applyAlignment="1" applyProtection="1">
      <alignment horizontal="center" vertical="center"/>
      <protection locked="0"/>
    </xf>
    <xf numFmtId="0" fontId="31" fillId="0" borderId="53" xfId="1" applyFont="1" applyBorder="1" applyProtection="1">
      <alignment vertical="center"/>
      <protection locked="0"/>
    </xf>
    <xf numFmtId="0" fontId="31" fillId="0" borderId="0" xfId="1" applyFont="1" applyAlignment="1" applyProtection="1">
      <alignment horizontal="center" vertical="center"/>
      <protection locked="0"/>
    </xf>
    <xf numFmtId="0" fontId="32" fillId="0" borderId="53" xfId="1" applyFont="1" applyBorder="1" applyAlignment="1" applyProtection="1">
      <alignment horizontal="left" vertical="center" wrapText="1"/>
      <protection locked="0"/>
    </xf>
    <xf numFmtId="0" fontId="3" fillId="0" borderId="54" xfId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0" borderId="55" xfId="1" applyFont="1" applyBorder="1" applyAlignment="1" applyProtection="1">
      <alignment horizontal="center" vertical="center" wrapText="1"/>
      <protection locked="0"/>
    </xf>
    <xf numFmtId="0" fontId="34" fillId="0" borderId="0" xfId="1" applyFont="1" applyAlignment="1" applyProtection="1">
      <alignment horizontal="center" vertical="center"/>
      <protection locked="0"/>
    </xf>
    <xf numFmtId="0" fontId="34" fillId="2" borderId="0" xfId="1" applyFont="1" applyFill="1" applyAlignment="1" applyProtection="1">
      <alignment horizontal="center" vertical="center"/>
      <protection locked="0"/>
    </xf>
    <xf numFmtId="0" fontId="36" fillId="8" borderId="0" xfId="1" applyFont="1" applyFill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37" fillId="0" borderId="0" xfId="1" applyFont="1" applyProtection="1">
      <alignment vertical="center"/>
      <protection locked="0"/>
    </xf>
    <xf numFmtId="0" fontId="4" fillId="0" borderId="0" xfId="1" applyFont="1" applyAlignment="1" applyProtection="1">
      <alignment vertical="center" wrapText="1"/>
      <protection locked="0"/>
    </xf>
    <xf numFmtId="176" fontId="5" fillId="0" borderId="4" xfId="1" applyNumberFormat="1" applyFont="1" applyBorder="1" applyAlignment="1" applyProtection="1">
      <alignment horizontal="center" vertical="center"/>
      <protection locked="0"/>
    </xf>
    <xf numFmtId="177" fontId="5" fillId="0" borderId="0" xfId="1" applyNumberFormat="1" applyFont="1" applyAlignment="1" applyProtection="1">
      <alignment horizontal="center" vertical="center"/>
      <protection locked="0"/>
    </xf>
    <xf numFmtId="178" fontId="5" fillId="0" borderId="5" xfId="1" applyNumberFormat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179" fontId="3" fillId="0" borderId="6" xfId="1" applyNumberFormat="1" applyFont="1" applyBorder="1" applyAlignment="1" applyProtection="1">
      <alignment horizontal="center" vertical="center" wrapText="1"/>
      <protection locked="0"/>
    </xf>
    <xf numFmtId="180" fontId="3" fillId="0" borderId="7" xfId="1" applyNumberFormat="1" applyFont="1" applyBorder="1" applyAlignment="1">
      <alignment horizontal="center" vertical="center" wrapText="1"/>
    </xf>
    <xf numFmtId="181" fontId="3" fillId="0" borderId="8" xfId="1" applyNumberFormat="1" applyFont="1" applyBorder="1" applyAlignment="1" applyProtection="1">
      <alignment horizontal="center" vertical="center" wrapText="1"/>
      <protection locked="0"/>
    </xf>
    <xf numFmtId="0" fontId="28" fillId="0" borderId="0" xfId="1" applyFont="1" applyAlignment="1" applyProtection="1">
      <protection locked="0"/>
    </xf>
    <xf numFmtId="0" fontId="7" fillId="4" borderId="9" xfId="1" applyFont="1" applyFill="1" applyBorder="1" applyAlignment="1" applyProtection="1">
      <alignment horizontal="center" vertical="center" wrapText="1"/>
      <protection locked="0"/>
    </xf>
    <xf numFmtId="0" fontId="23" fillId="0" borderId="4" xfId="1" applyFont="1" applyBorder="1" applyProtection="1">
      <alignment vertical="center"/>
      <protection locked="0"/>
    </xf>
    <xf numFmtId="195" fontId="38" fillId="0" borderId="0" xfId="1" applyNumberFormat="1" applyFont="1" applyAlignment="1">
      <alignment horizontal="center" vertical="center" shrinkToFit="1"/>
    </xf>
    <xf numFmtId="0" fontId="3" fillId="4" borderId="13" xfId="1" applyFont="1" applyFill="1" applyBorder="1" applyAlignment="1" applyProtection="1">
      <alignment horizontal="center" vertical="center"/>
      <protection locked="0"/>
    </xf>
    <xf numFmtId="196" fontId="38" fillId="0" borderId="61" xfId="1" applyNumberFormat="1" applyFont="1" applyBorder="1" applyAlignment="1">
      <alignment horizontal="center" vertical="center" shrinkToFit="1"/>
    </xf>
    <xf numFmtId="196" fontId="38" fillId="2" borderId="61" xfId="1" applyNumberFormat="1" applyFont="1" applyFill="1" applyBorder="1" applyAlignment="1">
      <alignment horizontal="center" vertical="center" shrinkToFit="1"/>
    </xf>
    <xf numFmtId="0" fontId="3" fillId="4" borderId="16" xfId="1" applyFont="1" applyFill="1" applyBorder="1" applyAlignment="1" applyProtection="1">
      <alignment horizontal="center" vertical="center"/>
      <protection locked="0"/>
    </xf>
    <xf numFmtId="0" fontId="13" fillId="2" borderId="57" xfId="1" applyFont="1" applyFill="1" applyBorder="1" applyAlignment="1" applyProtection="1">
      <alignment horizontal="center" vertical="center"/>
      <protection locked="0"/>
    </xf>
    <xf numFmtId="197" fontId="38" fillId="0" borderId="61" xfId="1" applyNumberFormat="1" applyFont="1" applyBorder="1" applyAlignment="1">
      <alignment horizontal="center" vertical="center" shrinkToFit="1"/>
    </xf>
    <xf numFmtId="197" fontId="38" fillId="2" borderId="61" xfId="1" applyNumberFormat="1" applyFont="1" applyFill="1" applyBorder="1" applyAlignment="1">
      <alignment horizontal="center" vertical="center" shrinkToFit="1"/>
    </xf>
    <xf numFmtId="0" fontId="10" fillId="4" borderId="18" xfId="1" applyFont="1" applyFill="1" applyBorder="1" applyAlignment="1" applyProtection="1">
      <alignment horizontal="center" vertical="center"/>
      <protection locked="0"/>
    </xf>
    <xf numFmtId="0" fontId="10" fillId="4" borderId="22" xfId="1" applyFont="1" applyFill="1" applyBorder="1" applyAlignment="1" applyProtection="1">
      <alignment horizontal="center" vertical="center"/>
      <protection locked="0"/>
    </xf>
    <xf numFmtId="198" fontId="42" fillId="2" borderId="0" xfId="1" applyNumberFormat="1" applyFont="1" applyFill="1" applyProtection="1">
      <alignment vertical="center"/>
      <protection locked="0"/>
    </xf>
    <xf numFmtId="0" fontId="10" fillId="4" borderId="18" xfId="1" applyFont="1" applyFill="1" applyBorder="1" applyAlignment="1" applyProtection="1">
      <alignment horizontal="center" vertical="center" wrapText="1"/>
      <protection locked="0"/>
    </xf>
    <xf numFmtId="197" fontId="37" fillId="0" borderId="61" xfId="1" applyNumberFormat="1" applyFont="1" applyBorder="1" applyAlignment="1">
      <alignment horizontal="center" vertical="center" shrinkToFit="1"/>
    </xf>
    <xf numFmtId="197" fontId="1" fillId="2" borderId="61" xfId="1" applyNumberFormat="1" applyFont="1" applyFill="1" applyBorder="1" applyAlignment="1">
      <alignment horizontal="center" vertical="center" shrinkToFit="1"/>
    </xf>
    <xf numFmtId="197" fontId="37" fillId="2" borderId="61" xfId="1" applyNumberFormat="1" applyFont="1" applyFill="1" applyBorder="1" applyAlignment="1">
      <alignment horizontal="center" vertical="center" shrinkToFit="1"/>
    </xf>
    <xf numFmtId="38" fontId="43" fillId="0" borderId="0" xfId="2" applyFont="1" applyBorder="1" applyAlignment="1">
      <alignment vertical="center" shrinkToFit="1"/>
    </xf>
    <xf numFmtId="38" fontId="43" fillId="2" borderId="0" xfId="2" applyFont="1" applyFill="1" applyBorder="1" applyAlignment="1">
      <alignment vertical="center" shrinkToFit="1"/>
    </xf>
    <xf numFmtId="38" fontId="43" fillId="0" borderId="61" xfId="2" applyFont="1" applyBorder="1" applyAlignment="1">
      <alignment vertical="center" shrinkToFit="1"/>
    </xf>
    <xf numFmtId="38" fontId="43" fillId="2" borderId="61" xfId="2" applyFont="1" applyFill="1" applyBorder="1" applyAlignment="1">
      <alignment vertical="center" shrinkToFit="1"/>
    </xf>
    <xf numFmtId="0" fontId="37" fillId="0" borderId="0" xfId="1" applyFont="1" applyAlignment="1">
      <alignment vertical="center" shrinkToFit="1"/>
    </xf>
    <xf numFmtId="0" fontId="37" fillId="2" borderId="0" xfId="1" applyFont="1" applyFill="1" applyAlignment="1">
      <alignment vertical="center" shrinkToFit="1"/>
    </xf>
    <xf numFmtId="0" fontId="29" fillId="2" borderId="0" xfId="1" applyFont="1" applyFill="1" applyProtection="1">
      <alignment vertical="center"/>
      <protection locked="0"/>
    </xf>
    <xf numFmtId="38" fontId="37" fillId="0" borderId="54" xfId="2" applyFont="1" applyBorder="1" applyAlignment="1">
      <alignment vertical="center" shrinkToFit="1"/>
    </xf>
    <xf numFmtId="189" fontId="5" fillId="0" borderId="34" xfId="1" applyNumberFormat="1" applyFont="1" applyBorder="1" applyAlignment="1">
      <alignment horizontal="right" vertical="center" wrapText="1"/>
    </xf>
    <xf numFmtId="38" fontId="37" fillId="0" borderId="0" xfId="2" applyFont="1" applyBorder="1" applyAlignment="1">
      <alignment vertical="center" shrinkToFit="1"/>
    </xf>
    <xf numFmtId="0" fontId="7" fillId="3" borderId="35" xfId="1" applyFont="1" applyFill="1" applyBorder="1" applyAlignment="1" applyProtection="1">
      <alignment vertical="center" textRotation="255"/>
      <protection locked="0"/>
    </xf>
    <xf numFmtId="0" fontId="14" fillId="4" borderId="36" xfId="1" applyFont="1" applyFill="1" applyBorder="1" applyAlignment="1" applyProtection="1">
      <alignment horizontal="center" vertical="center" wrapText="1"/>
      <protection locked="0"/>
    </xf>
    <xf numFmtId="182" fontId="15" fillId="0" borderId="37" xfId="1" applyNumberFormat="1" applyFont="1" applyBorder="1" applyAlignment="1" applyProtection="1">
      <alignment vertical="center" wrapText="1"/>
      <protection locked="0"/>
    </xf>
    <xf numFmtId="0" fontId="3" fillId="3" borderId="12" xfId="1" applyFont="1" applyFill="1" applyBorder="1" applyAlignment="1" applyProtection="1">
      <alignment vertical="center" textRotation="255"/>
      <protection locked="0"/>
    </xf>
    <xf numFmtId="0" fontId="7" fillId="4" borderId="13" xfId="1" applyFont="1" applyFill="1" applyBorder="1" applyAlignment="1" applyProtection="1">
      <alignment horizontal="center" vertical="center"/>
      <protection locked="0"/>
    </xf>
    <xf numFmtId="0" fontId="7" fillId="4" borderId="25" xfId="1" applyFont="1" applyFill="1" applyBorder="1" applyAlignment="1" applyProtection="1">
      <alignment horizontal="center" vertical="center"/>
      <protection locked="0"/>
    </xf>
    <xf numFmtId="0" fontId="3" fillId="4" borderId="25" xfId="1" applyFont="1" applyFill="1" applyBorder="1" applyAlignment="1" applyProtection="1">
      <alignment horizontal="center" vertical="center" wrapText="1"/>
      <protection locked="0"/>
    </xf>
    <xf numFmtId="0" fontId="7" fillId="4" borderId="29" xfId="1" applyFont="1" applyFill="1" applyBorder="1" applyAlignment="1" applyProtection="1">
      <alignment horizontal="center" vertical="center"/>
      <protection locked="0"/>
    </xf>
    <xf numFmtId="191" fontId="17" fillId="0" borderId="29" xfId="1" applyNumberFormat="1" applyFont="1" applyBorder="1" applyAlignment="1" applyProtection="1">
      <alignment vertical="center" shrinkToFit="1"/>
      <protection locked="0"/>
    </xf>
    <xf numFmtId="0" fontId="10" fillId="4" borderId="46" xfId="1" applyFont="1" applyFill="1" applyBorder="1" applyAlignment="1" applyProtection="1">
      <alignment horizontal="center" vertical="center"/>
      <protection locked="0"/>
    </xf>
    <xf numFmtId="0" fontId="10" fillId="4" borderId="48" xfId="1" applyFont="1" applyFill="1" applyBorder="1" applyAlignment="1" applyProtection="1">
      <alignment horizontal="center" vertical="center"/>
      <protection locked="0"/>
    </xf>
    <xf numFmtId="0" fontId="10" fillId="6" borderId="50" xfId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Protection="1">
      <alignment vertical="center"/>
      <protection locked="0"/>
    </xf>
    <xf numFmtId="0" fontId="43" fillId="0" borderId="0" xfId="1" applyFont="1" applyProtection="1">
      <alignment vertical="center"/>
      <protection locked="0"/>
    </xf>
    <xf numFmtId="10" fontId="23" fillId="0" borderId="53" xfId="1" applyNumberFormat="1" applyFont="1" applyBorder="1" applyProtection="1">
      <alignment vertical="center"/>
      <protection locked="0"/>
    </xf>
    <xf numFmtId="199" fontId="23" fillId="0" borderId="0" xfId="1" applyNumberFormat="1" applyFont="1" applyProtection="1">
      <alignment vertical="center"/>
      <protection locked="0"/>
    </xf>
    <xf numFmtId="0" fontId="11" fillId="2" borderId="88" xfId="1" applyFont="1" applyFill="1" applyBorder="1" applyAlignment="1" applyProtection="1">
      <alignment horizontal="center" vertical="center"/>
      <protection locked="0"/>
    </xf>
    <xf numFmtId="0" fontId="11" fillId="0" borderId="89" xfId="1" applyFont="1" applyBorder="1" applyAlignment="1" applyProtection="1">
      <alignment horizontal="center" vertical="center" shrinkToFit="1"/>
      <protection locked="0"/>
    </xf>
    <xf numFmtId="38" fontId="9" fillId="0" borderId="59" xfId="2" applyFont="1" applyBorder="1" applyAlignment="1" applyProtection="1">
      <alignment horizontal="center" vertical="center"/>
      <protection locked="0"/>
    </xf>
    <xf numFmtId="187" fontId="33" fillId="0" borderId="90" xfId="1" applyNumberFormat="1" applyFont="1" applyBorder="1" applyProtection="1">
      <alignment vertical="center"/>
      <protection locked="0"/>
    </xf>
    <xf numFmtId="181" fontId="33" fillId="12" borderId="90" xfId="1" applyNumberFormat="1" applyFont="1" applyFill="1" applyBorder="1" applyProtection="1">
      <alignment vertical="center"/>
      <protection locked="0"/>
    </xf>
    <xf numFmtId="0" fontId="11" fillId="0" borderId="91" xfId="1" applyFont="1" applyBorder="1" applyAlignment="1" applyProtection="1">
      <alignment horizontal="center" vertical="center" shrinkToFit="1"/>
      <protection locked="0"/>
    </xf>
    <xf numFmtId="0" fontId="5" fillId="0" borderId="0" xfId="1" applyFont="1" applyAlignment="1" applyProtection="1">
      <alignment horizont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187" fontId="33" fillId="0" borderId="93" xfId="1" applyNumberFormat="1" applyFont="1" applyBorder="1" applyAlignment="1" applyProtection="1">
      <alignment horizontal="center" vertical="center"/>
      <protection locked="0"/>
    </xf>
    <xf numFmtId="187" fontId="33" fillId="0" borderId="96" xfId="1" applyNumberFormat="1" applyFont="1" applyBorder="1" applyAlignment="1" applyProtection="1">
      <alignment horizontal="center" vertical="center"/>
      <protection locked="0"/>
    </xf>
    <xf numFmtId="187" fontId="33" fillId="0" borderId="97" xfId="1" applyNumberFormat="1" applyFont="1" applyBorder="1" applyAlignment="1" applyProtection="1">
      <alignment horizontal="center" vertical="center"/>
      <protection locked="0"/>
    </xf>
    <xf numFmtId="0" fontId="23" fillId="13" borderId="0" xfId="1" applyFont="1" applyFill="1" applyProtection="1">
      <alignment vertical="center"/>
      <protection locked="0"/>
    </xf>
    <xf numFmtId="0" fontId="3" fillId="15" borderId="46" xfId="1" applyFont="1" applyFill="1" applyBorder="1" applyAlignment="1" applyProtection="1">
      <alignment horizontal="center" vertical="center"/>
      <protection locked="0"/>
    </xf>
    <xf numFmtId="0" fontId="3" fillId="15" borderId="108" xfId="1" applyFont="1" applyFill="1" applyBorder="1" applyAlignment="1" applyProtection="1">
      <alignment horizontal="center" vertical="center"/>
      <protection locked="0"/>
    </xf>
    <xf numFmtId="0" fontId="3" fillId="15" borderId="48" xfId="1" applyFont="1" applyFill="1" applyBorder="1" applyAlignment="1" applyProtection="1">
      <alignment horizontal="center" vertical="center"/>
      <protection locked="0"/>
    </xf>
    <xf numFmtId="0" fontId="3" fillId="15" borderId="16" xfId="1" applyFont="1" applyFill="1" applyBorder="1" applyAlignment="1" applyProtection="1">
      <alignment horizontal="center" vertical="center" wrapText="1"/>
      <protection locked="0"/>
    </xf>
    <xf numFmtId="179" fontId="5" fillId="0" borderId="10" xfId="1" applyNumberFormat="1" applyFont="1" applyBorder="1" applyAlignment="1" applyProtection="1">
      <alignment horizontal="center" vertical="center" wrapText="1"/>
      <protection locked="0"/>
    </xf>
    <xf numFmtId="179" fontId="5" fillId="0" borderId="11" xfId="1" applyNumberFormat="1" applyFont="1" applyBorder="1" applyAlignment="1" applyProtection="1">
      <alignment horizontal="center" vertical="center" wrapText="1"/>
      <protection locked="0"/>
    </xf>
    <xf numFmtId="0" fontId="38" fillId="0" borderId="53" xfId="1" applyFont="1" applyBorder="1" applyAlignment="1">
      <alignment horizontal="center" vertical="center" shrinkToFit="1"/>
    </xf>
    <xf numFmtId="0" fontId="7" fillId="3" borderId="52" xfId="1" applyFont="1" applyFill="1" applyBorder="1" applyAlignment="1" applyProtection="1">
      <alignment horizontal="center" vertical="center" textRotation="255"/>
      <protection locked="0"/>
    </xf>
    <xf numFmtId="0" fontId="7" fillId="3" borderId="15" xfId="1" applyFont="1" applyFill="1" applyBorder="1" applyAlignment="1" applyProtection="1">
      <alignment horizontal="center" vertical="center" textRotation="255"/>
      <protection locked="0"/>
    </xf>
    <xf numFmtId="38" fontId="47" fillId="0" borderId="23" xfId="2" applyFont="1" applyBorder="1" applyAlignment="1" applyProtection="1">
      <alignment horizontal="center" vertical="center"/>
    </xf>
    <xf numFmtId="38" fontId="47" fillId="0" borderId="24" xfId="2" applyFont="1" applyBorder="1" applyAlignment="1" applyProtection="1">
      <alignment horizontal="center" vertical="center"/>
    </xf>
    <xf numFmtId="38" fontId="47" fillId="0" borderId="25" xfId="2" applyFont="1" applyBorder="1" applyAlignment="1" applyProtection="1">
      <alignment horizontal="center" vertical="center"/>
    </xf>
    <xf numFmtId="38" fontId="12" fillId="0" borderId="51" xfId="2" applyFont="1" applyBorder="1" applyAlignment="1" applyProtection="1">
      <alignment horizontal="center" vertical="center"/>
    </xf>
    <xf numFmtId="38" fontId="12" fillId="0" borderId="50" xfId="2" applyFont="1" applyBorder="1" applyAlignment="1" applyProtection="1">
      <alignment horizontal="center" vertical="center"/>
    </xf>
    <xf numFmtId="38" fontId="12" fillId="0" borderId="34" xfId="2" applyFont="1" applyBorder="1" applyAlignment="1" applyProtection="1">
      <alignment horizontal="center" vertical="center"/>
    </xf>
    <xf numFmtId="0" fontId="44" fillId="0" borderId="104" xfId="3" applyFont="1" applyBorder="1" applyAlignment="1" applyProtection="1">
      <alignment horizontal="center" vertical="center"/>
      <protection locked="0"/>
    </xf>
    <xf numFmtId="0" fontId="44" fillId="0" borderId="105" xfId="3" applyFont="1" applyBorder="1" applyAlignment="1" applyProtection="1">
      <alignment horizontal="center" vertical="center"/>
      <protection locked="0"/>
    </xf>
    <xf numFmtId="0" fontId="44" fillId="0" borderId="106" xfId="3" applyFont="1" applyBorder="1" applyAlignment="1" applyProtection="1">
      <alignment horizontal="center" vertical="center"/>
      <protection locked="0"/>
    </xf>
    <xf numFmtId="0" fontId="7" fillId="14" borderId="103" xfId="1" applyFont="1" applyFill="1" applyBorder="1" applyAlignment="1" applyProtection="1">
      <alignment horizontal="center" vertical="center" textRotation="255"/>
      <protection locked="0"/>
    </xf>
    <xf numFmtId="0" fontId="7" fillId="14" borderId="107" xfId="1" applyFont="1" applyFill="1" applyBorder="1" applyAlignment="1" applyProtection="1">
      <alignment horizontal="center" vertical="center" textRotation="255"/>
      <protection locked="0"/>
    </xf>
    <xf numFmtId="0" fontId="7" fillId="14" borderId="109" xfId="1" applyFont="1" applyFill="1" applyBorder="1" applyAlignment="1" applyProtection="1">
      <alignment horizontal="center" vertical="center" textRotation="255"/>
      <protection locked="0"/>
    </xf>
    <xf numFmtId="182" fontId="16" fillId="0" borderId="100" xfId="1" applyNumberFormat="1" applyFont="1" applyBorder="1" applyAlignment="1" applyProtection="1">
      <alignment horizontal="center" vertical="center"/>
      <protection locked="0"/>
    </xf>
    <xf numFmtId="182" fontId="16" fillId="0" borderId="101" xfId="1" applyNumberFormat="1" applyFont="1" applyBorder="1" applyAlignment="1" applyProtection="1">
      <alignment horizontal="center" vertical="center"/>
      <protection locked="0"/>
    </xf>
    <xf numFmtId="182" fontId="16" fillId="0" borderId="102" xfId="1" applyNumberFormat="1" applyFont="1" applyBorder="1" applyAlignment="1" applyProtection="1">
      <alignment horizontal="center" vertical="center"/>
      <protection locked="0"/>
    </xf>
    <xf numFmtId="0" fontId="10" fillId="11" borderId="0" xfId="1" applyFont="1" applyFill="1" applyAlignment="1" applyProtection="1">
      <alignment horizontal="center" vertical="center"/>
      <protection locked="0"/>
    </xf>
    <xf numFmtId="182" fontId="16" fillId="0" borderId="71" xfId="1" applyNumberFormat="1" applyFont="1" applyBorder="1" applyAlignment="1" applyProtection="1">
      <alignment horizontal="center" vertical="center"/>
      <protection locked="0"/>
    </xf>
    <xf numFmtId="182" fontId="16" fillId="0" borderId="55" xfId="1" applyNumberFormat="1" applyFont="1" applyBorder="1" applyAlignment="1" applyProtection="1">
      <alignment horizontal="center" vertical="center"/>
      <protection locked="0"/>
    </xf>
    <xf numFmtId="182" fontId="16" fillId="0" borderId="72" xfId="1" applyNumberFormat="1" applyFont="1" applyBorder="1" applyAlignment="1" applyProtection="1">
      <alignment horizontal="center" vertical="center"/>
      <protection locked="0"/>
    </xf>
    <xf numFmtId="38" fontId="10" fillId="0" borderId="98" xfId="2" applyFont="1" applyBorder="1" applyAlignment="1" applyProtection="1">
      <alignment horizontal="center" vertical="center"/>
      <protection locked="0"/>
    </xf>
    <xf numFmtId="38" fontId="10" fillId="0" borderId="99" xfId="2" applyFont="1" applyBorder="1" applyAlignment="1" applyProtection="1">
      <alignment horizontal="center" vertical="center"/>
      <protection locked="0"/>
    </xf>
    <xf numFmtId="183" fontId="11" fillId="0" borderId="7" xfId="1" applyNumberFormat="1" applyFont="1" applyBorder="1" applyAlignment="1" applyProtection="1">
      <alignment horizontal="center" vertical="center"/>
      <protection locked="0"/>
    </xf>
    <xf numFmtId="0" fontId="11" fillId="0" borderId="7" xfId="1" applyFont="1" applyBorder="1" applyAlignment="1" applyProtection="1">
      <alignment horizontal="center" vertical="center"/>
      <protection locked="0"/>
    </xf>
    <xf numFmtId="38" fontId="10" fillId="0" borderId="94" xfId="2" applyFont="1" applyBorder="1" applyAlignment="1" applyProtection="1">
      <alignment horizontal="center" vertical="center"/>
      <protection locked="0"/>
    </xf>
    <xf numFmtId="38" fontId="10" fillId="0" borderId="95" xfId="2" applyFont="1" applyBorder="1" applyAlignment="1" applyProtection="1">
      <alignment horizontal="center" vertical="center"/>
      <protection locked="0"/>
    </xf>
    <xf numFmtId="38" fontId="10" fillId="0" borderId="60" xfId="2" applyFont="1" applyBorder="1" applyAlignment="1" applyProtection="1">
      <alignment horizontal="center" vertical="center"/>
      <protection locked="0"/>
    </xf>
    <xf numFmtId="38" fontId="10" fillId="0" borderId="90" xfId="2" applyFont="1" applyBorder="1" applyAlignment="1" applyProtection="1">
      <alignment horizontal="center" vertical="center"/>
      <protection locked="0"/>
    </xf>
    <xf numFmtId="0" fontId="14" fillId="11" borderId="0" xfId="1" applyFont="1" applyFill="1" applyAlignment="1" applyProtection="1">
      <alignment horizontal="center" vertical="center"/>
      <protection locked="0"/>
    </xf>
    <xf numFmtId="0" fontId="11" fillId="2" borderId="1" xfId="1" applyFont="1" applyFill="1" applyBorder="1" applyAlignment="1" applyProtection="1">
      <alignment horizontal="center" vertical="center" shrinkToFit="1"/>
      <protection locked="0"/>
    </xf>
    <xf numFmtId="0" fontId="11" fillId="2" borderId="2" xfId="1" applyFont="1" applyFill="1" applyBorder="1" applyAlignment="1" applyProtection="1">
      <alignment horizontal="center" vertical="center" shrinkToFit="1"/>
      <protection locked="0"/>
    </xf>
    <xf numFmtId="38" fontId="9" fillId="0" borderId="92" xfId="2" applyFont="1" applyBorder="1" applyAlignment="1" applyProtection="1">
      <alignment horizontal="center" vertical="center" shrinkToFit="1"/>
      <protection locked="0"/>
    </xf>
    <xf numFmtId="38" fontId="9" fillId="0" borderId="72" xfId="2" applyFont="1" applyBorder="1" applyAlignment="1" applyProtection="1">
      <alignment horizontal="center" vertical="center" shrinkToFit="1"/>
      <protection locked="0"/>
    </xf>
    <xf numFmtId="38" fontId="19" fillId="0" borderId="66" xfId="1" applyNumberFormat="1" applyFont="1" applyBorder="1" applyAlignment="1" applyProtection="1">
      <alignment horizontal="center" vertical="center"/>
      <protection locked="0"/>
    </xf>
    <xf numFmtId="0" fontId="19" fillId="0" borderId="67" xfId="1" applyFont="1" applyBorder="1" applyAlignment="1" applyProtection="1">
      <alignment horizontal="center" vertical="center"/>
      <protection locked="0"/>
    </xf>
    <xf numFmtId="0" fontId="19" fillId="0" borderId="68" xfId="1" applyFont="1" applyBorder="1" applyAlignment="1" applyProtection="1">
      <alignment horizontal="center" vertical="center"/>
      <protection locked="0"/>
    </xf>
    <xf numFmtId="38" fontId="19" fillId="0" borderId="51" xfId="2" applyFont="1" applyBorder="1" applyAlignment="1" applyProtection="1">
      <alignment horizontal="center" vertical="center" shrinkToFit="1"/>
    </xf>
    <xf numFmtId="38" fontId="19" fillId="0" borderId="50" xfId="2" applyFont="1" applyBorder="1" applyAlignment="1" applyProtection="1">
      <alignment horizontal="center" vertical="center" shrinkToFit="1"/>
    </xf>
    <xf numFmtId="38" fontId="19" fillId="0" borderId="34" xfId="2" applyFont="1" applyBorder="1" applyAlignment="1" applyProtection="1">
      <alignment horizontal="center" vertical="center" shrinkToFit="1"/>
    </xf>
    <xf numFmtId="38" fontId="19" fillId="0" borderId="85" xfId="1" applyNumberFormat="1" applyFont="1" applyBorder="1" applyAlignment="1" applyProtection="1">
      <alignment horizontal="center" vertical="center" shrinkToFit="1"/>
      <protection locked="0"/>
    </xf>
    <xf numFmtId="0" fontId="19" fillId="0" borderId="86" xfId="1" applyFont="1" applyBorder="1" applyAlignment="1" applyProtection="1">
      <alignment horizontal="center" vertical="center" shrinkToFit="1"/>
      <protection locked="0"/>
    </xf>
    <xf numFmtId="0" fontId="19" fillId="0" borderId="87" xfId="1" applyFont="1" applyBorder="1" applyAlignment="1" applyProtection="1">
      <alignment horizontal="center" vertical="center" shrinkToFit="1"/>
      <protection locked="0"/>
    </xf>
    <xf numFmtId="38" fontId="19" fillId="0" borderId="19" xfId="2" applyFont="1" applyBorder="1" applyAlignment="1">
      <alignment horizontal="center" vertical="center"/>
    </xf>
    <xf numFmtId="38" fontId="19" fillId="0" borderId="20" xfId="2" applyFont="1" applyBorder="1" applyAlignment="1">
      <alignment horizontal="center" vertical="center"/>
    </xf>
    <xf numFmtId="38" fontId="19" fillId="0" borderId="21" xfId="2" applyFont="1" applyBorder="1" applyAlignment="1">
      <alignment horizontal="center" vertical="center"/>
    </xf>
    <xf numFmtId="38" fontId="19" fillId="0" borderId="23" xfId="2" applyFont="1" applyBorder="1" applyAlignment="1" applyProtection="1">
      <alignment horizontal="center" vertical="center"/>
    </xf>
    <xf numFmtId="38" fontId="19" fillId="0" borderId="24" xfId="2" applyFont="1" applyBorder="1" applyAlignment="1" applyProtection="1">
      <alignment horizontal="center" vertical="center"/>
    </xf>
    <xf numFmtId="38" fontId="19" fillId="0" borderId="25" xfId="2" applyFont="1" applyBorder="1" applyAlignment="1" applyProtection="1">
      <alignment horizontal="center" vertical="center"/>
    </xf>
    <xf numFmtId="0" fontId="7" fillId="3" borderId="45" xfId="1" applyFont="1" applyFill="1" applyBorder="1" applyAlignment="1" applyProtection="1">
      <alignment horizontal="center" vertical="center" textRotation="255"/>
      <protection locked="0"/>
    </xf>
    <xf numFmtId="0" fontId="7" fillId="3" borderId="47" xfId="1" applyFont="1" applyFill="1" applyBorder="1" applyAlignment="1" applyProtection="1">
      <alignment horizontal="center" vertical="center" textRotation="255"/>
      <protection locked="0"/>
    </xf>
    <xf numFmtId="0" fontId="7" fillId="3" borderId="49" xfId="1" applyFont="1" applyFill="1" applyBorder="1" applyAlignment="1" applyProtection="1">
      <alignment horizontal="center" vertical="center" textRotation="255"/>
      <protection locked="0"/>
    </xf>
    <xf numFmtId="38" fontId="19" fillId="0" borderId="19" xfId="2" applyFont="1" applyBorder="1" applyAlignment="1" applyProtection="1">
      <alignment horizontal="center" vertical="center"/>
    </xf>
    <xf numFmtId="38" fontId="19" fillId="0" borderId="20" xfId="2" applyFont="1" applyBorder="1" applyAlignment="1" applyProtection="1">
      <alignment horizontal="center" vertical="center"/>
    </xf>
    <xf numFmtId="38" fontId="19" fillId="0" borderId="21" xfId="2" applyFont="1" applyBorder="1" applyAlignment="1" applyProtection="1">
      <alignment horizontal="center" vertical="center"/>
    </xf>
    <xf numFmtId="0" fontId="38" fillId="3" borderId="81" xfId="1" applyFont="1" applyFill="1" applyBorder="1" applyAlignment="1" applyProtection="1">
      <alignment horizontal="center" vertical="center"/>
      <protection locked="0"/>
    </xf>
    <xf numFmtId="0" fontId="38" fillId="3" borderId="82" xfId="1" applyFont="1" applyFill="1" applyBorder="1" applyAlignment="1" applyProtection="1">
      <alignment horizontal="center" vertical="center"/>
      <protection locked="0"/>
    </xf>
    <xf numFmtId="0" fontId="38" fillId="3" borderId="83" xfId="1" applyFont="1" applyFill="1" applyBorder="1" applyAlignment="1" applyProtection="1">
      <alignment horizontal="center" vertical="center"/>
      <protection locked="0"/>
    </xf>
    <xf numFmtId="0" fontId="38" fillId="3" borderId="79" xfId="1" applyFont="1" applyFill="1" applyBorder="1" applyAlignment="1" applyProtection="1">
      <alignment horizontal="center" vertical="center"/>
      <protection locked="0"/>
    </xf>
    <xf numFmtId="0" fontId="38" fillId="3" borderId="80" xfId="1" applyFont="1" applyFill="1" applyBorder="1" applyAlignment="1" applyProtection="1">
      <alignment horizontal="center" vertical="center"/>
      <protection locked="0"/>
    </xf>
    <xf numFmtId="0" fontId="38" fillId="3" borderId="84" xfId="1" applyFont="1" applyFill="1" applyBorder="1" applyAlignment="1" applyProtection="1">
      <alignment horizontal="center" vertical="center"/>
      <protection locked="0"/>
    </xf>
    <xf numFmtId="190" fontId="17" fillId="0" borderId="43" xfId="1" applyNumberFormat="1" applyFont="1" applyBorder="1" applyAlignment="1" applyProtection="1">
      <alignment horizontal="center" vertical="center"/>
      <protection locked="0"/>
    </xf>
    <xf numFmtId="190" fontId="17" fillId="0" borderId="44" xfId="1" applyNumberFormat="1" applyFont="1" applyBorder="1" applyAlignment="1" applyProtection="1">
      <alignment horizontal="center" vertical="center"/>
      <protection locked="0"/>
    </xf>
    <xf numFmtId="38" fontId="17" fillId="2" borderId="23" xfId="2" applyFont="1" applyFill="1" applyBorder="1" applyAlignment="1" applyProtection="1">
      <alignment horizontal="center" vertical="center"/>
      <protection locked="0"/>
    </xf>
    <xf numFmtId="38" fontId="17" fillId="2" borderId="24" xfId="2" applyFont="1" applyFill="1" applyBorder="1" applyAlignment="1" applyProtection="1">
      <alignment horizontal="center" vertical="center"/>
      <protection locked="0"/>
    </xf>
    <xf numFmtId="38" fontId="17" fillId="2" borderId="25" xfId="2" applyFont="1" applyFill="1" applyBorder="1" applyAlignment="1" applyProtection="1">
      <alignment horizontal="center" vertical="center"/>
      <protection locked="0"/>
    </xf>
    <xf numFmtId="38" fontId="17" fillId="0" borderId="23" xfId="2" applyFont="1" applyBorder="1" applyAlignment="1" applyProtection="1">
      <alignment horizontal="center" vertical="center"/>
      <protection locked="0"/>
    </xf>
    <xf numFmtId="38" fontId="17" fillId="0" borderId="24" xfId="2" applyFont="1" applyBorder="1" applyAlignment="1" applyProtection="1">
      <alignment horizontal="center" vertical="center"/>
      <protection locked="0"/>
    </xf>
    <xf numFmtId="38" fontId="17" fillId="0" borderId="25" xfId="2" applyFont="1" applyBorder="1" applyAlignment="1" applyProtection="1">
      <alignment horizontal="center" vertical="center"/>
      <protection locked="0"/>
    </xf>
    <xf numFmtId="38" fontId="45" fillId="0" borderId="81" xfId="1" applyNumberFormat="1" applyFont="1" applyBorder="1" applyAlignment="1" applyProtection="1">
      <alignment horizontal="center" vertical="center"/>
      <protection locked="0"/>
    </xf>
    <xf numFmtId="0" fontId="45" fillId="0" borderId="82" xfId="1" applyFont="1" applyBorder="1" applyAlignment="1" applyProtection="1">
      <alignment horizontal="center" vertical="center"/>
      <protection locked="0"/>
    </xf>
    <xf numFmtId="0" fontId="45" fillId="0" borderId="83" xfId="1" applyFont="1" applyBorder="1" applyAlignment="1" applyProtection="1">
      <alignment horizontal="center" vertical="center"/>
      <protection locked="0"/>
    </xf>
    <xf numFmtId="0" fontId="45" fillId="0" borderId="79" xfId="1" applyFont="1" applyBorder="1" applyAlignment="1" applyProtection="1">
      <alignment horizontal="center" vertical="center"/>
      <protection locked="0"/>
    </xf>
    <xf numFmtId="0" fontId="45" fillId="0" borderId="80" xfId="1" applyFont="1" applyBorder="1" applyAlignment="1" applyProtection="1">
      <alignment horizontal="center" vertical="center"/>
      <protection locked="0"/>
    </xf>
    <xf numFmtId="0" fontId="45" fillId="0" borderId="84" xfId="1" applyFont="1" applyBorder="1" applyAlignment="1" applyProtection="1">
      <alignment horizontal="center" vertical="center"/>
      <protection locked="0"/>
    </xf>
    <xf numFmtId="0" fontId="7" fillId="3" borderId="12" xfId="1" applyFont="1" applyFill="1" applyBorder="1" applyAlignment="1" applyProtection="1">
      <alignment horizontal="center" vertical="center" textRotation="255"/>
      <protection locked="0"/>
    </xf>
    <xf numFmtId="38" fontId="16" fillId="0" borderId="38" xfId="2" applyFont="1" applyBorder="1" applyAlignment="1" applyProtection="1">
      <alignment horizontal="center" vertical="center"/>
      <protection locked="0"/>
    </xf>
    <xf numFmtId="38" fontId="16" fillId="0" borderId="36" xfId="2" applyFont="1" applyBorder="1" applyAlignment="1" applyProtection="1">
      <alignment horizontal="center" vertical="center"/>
      <protection locked="0"/>
    </xf>
    <xf numFmtId="38" fontId="44" fillId="0" borderId="66" xfId="1" applyNumberFormat="1" applyFont="1" applyBorder="1" applyAlignment="1" applyProtection="1">
      <alignment horizontal="center" vertical="center"/>
      <protection locked="0"/>
    </xf>
    <xf numFmtId="0" fontId="44" fillId="0" borderId="67" xfId="1" applyFont="1" applyBorder="1" applyAlignment="1" applyProtection="1">
      <alignment horizontal="center" vertical="center"/>
      <protection locked="0"/>
    </xf>
    <xf numFmtId="0" fontId="44" fillId="0" borderId="68" xfId="1" applyFont="1" applyBorder="1" applyAlignment="1" applyProtection="1">
      <alignment horizontal="center" vertical="center"/>
      <protection locked="0"/>
    </xf>
    <xf numFmtId="0" fontId="3" fillId="4" borderId="39" xfId="1" applyFont="1" applyFill="1" applyBorder="1" applyAlignment="1" applyProtection="1">
      <alignment horizontal="center" vertical="center" wrapText="1"/>
      <protection locked="0"/>
    </xf>
    <xf numFmtId="0" fontId="3" fillId="4" borderId="32" xfId="1" applyFont="1" applyFill="1" applyBorder="1" applyAlignment="1" applyProtection="1">
      <alignment horizontal="center" vertical="center" wrapText="1"/>
      <protection locked="0"/>
    </xf>
    <xf numFmtId="0" fontId="3" fillId="4" borderId="18" xfId="1" applyFont="1" applyFill="1" applyBorder="1" applyAlignment="1" applyProtection="1">
      <alignment horizontal="center" vertical="center" wrapText="1"/>
      <protection locked="0"/>
    </xf>
    <xf numFmtId="38" fontId="17" fillId="0" borderId="40" xfId="2" applyFont="1" applyFill="1" applyBorder="1" applyAlignment="1" applyProtection="1">
      <alignment horizontal="center" vertical="center" shrinkToFit="1"/>
      <protection locked="0"/>
    </xf>
    <xf numFmtId="38" fontId="17" fillId="0" borderId="41" xfId="2" applyFont="1" applyFill="1" applyBorder="1" applyAlignment="1" applyProtection="1">
      <alignment horizontal="center" vertical="center" shrinkToFit="1"/>
      <protection locked="0"/>
    </xf>
    <xf numFmtId="38" fontId="17" fillId="0" borderId="42" xfId="2" applyFont="1" applyFill="1" applyBorder="1" applyAlignment="1" applyProtection="1">
      <alignment horizontal="center" vertical="center" shrinkToFit="1"/>
      <protection locked="0"/>
    </xf>
    <xf numFmtId="38" fontId="17" fillId="0" borderId="4" xfId="2" applyFont="1" applyFill="1" applyBorder="1" applyAlignment="1" applyProtection="1">
      <alignment horizontal="center" vertical="center" shrinkToFit="1"/>
      <protection locked="0"/>
    </xf>
    <xf numFmtId="38" fontId="17" fillId="0" borderId="0" xfId="2" applyFont="1" applyFill="1" applyBorder="1" applyAlignment="1" applyProtection="1">
      <alignment horizontal="center" vertical="center" shrinkToFit="1"/>
      <protection locked="0"/>
    </xf>
    <xf numFmtId="38" fontId="17" fillId="0" borderId="5" xfId="2" applyFont="1" applyFill="1" applyBorder="1" applyAlignment="1" applyProtection="1">
      <alignment horizontal="center" vertical="center" shrinkToFit="1"/>
      <protection locked="0"/>
    </xf>
    <xf numFmtId="38" fontId="17" fillId="0" borderId="30" xfId="2" applyFont="1" applyFill="1" applyBorder="1" applyAlignment="1" applyProtection="1">
      <alignment horizontal="center" vertical="center" shrinkToFit="1"/>
      <protection locked="0"/>
    </xf>
    <xf numFmtId="38" fontId="17" fillId="0" borderId="31" xfId="2" applyFont="1" applyFill="1" applyBorder="1" applyAlignment="1" applyProtection="1">
      <alignment horizontal="center" vertical="center" shrinkToFit="1"/>
      <protection locked="0"/>
    </xf>
    <xf numFmtId="38" fontId="17" fillId="0" borderId="13" xfId="2" applyFont="1" applyFill="1" applyBorder="1" applyAlignment="1" applyProtection="1">
      <alignment horizontal="center" vertical="center" shrinkToFit="1"/>
      <protection locked="0"/>
    </xf>
    <xf numFmtId="187" fontId="5" fillId="0" borderId="30" xfId="1" applyNumberFormat="1" applyFont="1" applyBorder="1" applyAlignment="1" applyProtection="1">
      <alignment horizontal="center" vertical="center" wrapText="1"/>
      <protection locked="0"/>
    </xf>
    <xf numFmtId="187" fontId="5" fillId="0" borderId="31" xfId="1" applyNumberFormat="1" applyFont="1" applyBorder="1" applyAlignment="1" applyProtection="1">
      <alignment horizontal="center" vertical="center" wrapText="1"/>
      <protection locked="0"/>
    </xf>
    <xf numFmtId="38" fontId="37" fillId="0" borderId="54" xfId="2" applyFont="1" applyBorder="1" applyAlignment="1">
      <alignment horizontal="center" vertical="center" shrinkToFit="1"/>
    </xf>
    <xf numFmtId="38" fontId="37" fillId="0" borderId="0" xfId="2" applyFont="1" applyBorder="1" applyAlignment="1">
      <alignment horizontal="center" vertical="center" shrinkToFit="1"/>
    </xf>
    <xf numFmtId="188" fontId="5" fillId="0" borderId="29" xfId="1" applyNumberFormat="1" applyFont="1" applyBorder="1" applyAlignment="1">
      <alignment horizontal="right" vertical="center" wrapText="1"/>
    </xf>
    <xf numFmtId="188" fontId="5" fillId="0" borderId="5" xfId="1" applyNumberFormat="1" applyFont="1" applyBorder="1" applyAlignment="1">
      <alignment horizontal="right" vertical="center" wrapText="1"/>
    </xf>
    <xf numFmtId="0" fontId="23" fillId="0" borderId="4" xfId="1" applyFont="1" applyBorder="1" applyAlignment="1" applyProtection="1">
      <alignment horizontal="center" vertical="center"/>
      <protection locked="0"/>
    </xf>
    <xf numFmtId="0" fontId="23" fillId="0" borderId="0" xfId="1" applyFont="1" applyAlignment="1" applyProtection="1">
      <alignment horizontal="center" vertical="center"/>
      <protection locked="0"/>
    </xf>
    <xf numFmtId="0" fontId="23" fillId="0" borderId="79" xfId="1" applyFont="1" applyBorder="1" applyAlignment="1" applyProtection="1">
      <alignment horizontal="center" vertical="center"/>
      <protection locked="0"/>
    </xf>
    <xf numFmtId="0" fontId="23" fillId="0" borderId="80" xfId="1" applyFont="1" applyBorder="1" applyAlignment="1" applyProtection="1">
      <alignment horizontal="center" vertical="center"/>
      <protection locked="0"/>
    </xf>
    <xf numFmtId="186" fontId="13" fillId="0" borderId="4" xfId="1" applyNumberFormat="1" applyFont="1" applyBorder="1" applyAlignment="1">
      <alignment horizontal="center" vertical="center" wrapText="1"/>
    </xf>
    <xf numFmtId="186" fontId="13" fillId="0" borderId="0" xfId="1" applyNumberFormat="1" applyFont="1" applyAlignment="1">
      <alignment horizontal="center" vertical="center" wrapText="1"/>
    </xf>
    <xf numFmtId="187" fontId="5" fillId="0" borderId="27" xfId="1" applyNumberFormat="1" applyFont="1" applyBorder="1" applyAlignment="1" applyProtection="1">
      <alignment horizontal="center" vertical="center" wrapText="1"/>
      <protection locked="0"/>
    </xf>
    <xf numFmtId="187" fontId="5" fillId="0" borderId="28" xfId="1" applyNumberFormat="1" applyFont="1" applyBorder="1" applyAlignment="1" applyProtection="1">
      <alignment horizontal="center" vertical="center" wrapText="1"/>
      <protection locked="0"/>
    </xf>
    <xf numFmtId="186" fontId="11" fillId="0" borderId="23" xfId="1" applyNumberFormat="1" applyFont="1" applyBorder="1" applyAlignment="1" applyProtection="1">
      <alignment horizontal="center" vertical="center" wrapText="1"/>
      <protection locked="0"/>
    </xf>
    <xf numFmtId="186" fontId="11" fillId="0" borderId="24" xfId="1" applyNumberFormat="1" applyFont="1" applyBorder="1" applyAlignment="1" applyProtection="1">
      <alignment horizontal="center" vertical="center" wrapText="1"/>
      <protection locked="0"/>
    </xf>
    <xf numFmtId="186" fontId="11" fillId="0" borderId="25" xfId="1" applyNumberFormat="1" applyFont="1" applyBorder="1" applyAlignment="1" applyProtection="1">
      <alignment horizontal="center" vertical="center" wrapText="1"/>
      <protection locked="0"/>
    </xf>
    <xf numFmtId="38" fontId="43" fillId="0" borderId="61" xfId="2" applyFont="1" applyBorder="1" applyAlignment="1">
      <alignment horizontal="center" vertical="center" shrinkToFit="1"/>
    </xf>
    <xf numFmtId="0" fontId="10" fillId="4" borderId="26" xfId="1" applyFont="1" applyFill="1" applyBorder="1" applyAlignment="1" applyProtection="1">
      <alignment horizontal="center" vertical="center"/>
      <protection locked="0"/>
    </xf>
    <xf numFmtId="0" fontId="10" fillId="4" borderId="32" xfId="1" applyFont="1" applyFill="1" applyBorder="1" applyAlignment="1" applyProtection="1">
      <alignment horizontal="center" vertical="center"/>
      <protection locked="0"/>
    </xf>
    <xf numFmtId="0" fontId="10" fillId="4" borderId="33" xfId="1" applyFont="1" applyFill="1" applyBorder="1" applyAlignment="1" applyProtection="1">
      <alignment horizontal="center" vertical="center"/>
      <protection locked="0"/>
    </xf>
    <xf numFmtId="0" fontId="10" fillId="0" borderId="61" xfId="1" applyFont="1" applyBorder="1" applyAlignment="1">
      <alignment horizontal="center" vertical="center" shrinkToFit="1"/>
    </xf>
    <xf numFmtId="185" fontId="11" fillId="0" borderId="23" xfId="2" applyNumberFormat="1" applyFont="1" applyFill="1" applyBorder="1" applyAlignment="1" applyProtection="1">
      <alignment horizontal="center" vertical="center" wrapText="1"/>
      <protection locked="0"/>
    </xf>
    <xf numFmtId="185" fontId="11" fillId="0" borderId="24" xfId="2" applyNumberFormat="1" applyFont="1" applyFill="1" applyBorder="1" applyAlignment="1" applyProtection="1">
      <alignment horizontal="center" vertical="center" wrapText="1"/>
      <protection locked="0"/>
    </xf>
    <xf numFmtId="185" fontId="11" fillId="0" borderId="25" xfId="2" applyNumberFormat="1" applyFont="1" applyFill="1" applyBorder="1" applyAlignment="1" applyProtection="1">
      <alignment horizontal="center" vertical="center" wrapText="1"/>
      <protection locked="0"/>
    </xf>
    <xf numFmtId="38" fontId="11" fillId="0" borderId="30" xfId="2" applyFont="1" applyFill="1" applyBorder="1" applyAlignment="1" applyProtection="1">
      <alignment horizontal="center" vertical="center" wrapText="1"/>
      <protection locked="0"/>
    </xf>
    <xf numFmtId="38" fontId="11" fillId="0" borderId="31" xfId="2" applyFont="1" applyFill="1" applyBorder="1" applyAlignment="1" applyProtection="1">
      <alignment horizontal="center" vertical="center" wrapText="1"/>
      <protection locked="0"/>
    </xf>
    <xf numFmtId="38" fontId="11" fillId="0" borderId="13" xfId="2" applyFont="1" applyFill="1" applyBorder="1" applyAlignment="1" applyProtection="1">
      <alignment horizontal="center" vertical="center" wrapText="1"/>
      <protection locked="0"/>
    </xf>
    <xf numFmtId="38" fontId="40" fillId="0" borderId="66" xfId="1" applyNumberFormat="1" applyFont="1" applyBorder="1" applyAlignment="1" applyProtection="1">
      <alignment horizontal="center" vertical="center"/>
      <protection locked="0"/>
    </xf>
    <xf numFmtId="0" fontId="40" fillId="0" borderId="67" xfId="1" applyFont="1" applyBorder="1" applyAlignment="1" applyProtection="1">
      <alignment horizontal="center" vertical="center"/>
      <protection locked="0"/>
    </xf>
    <xf numFmtId="0" fontId="40" fillId="0" borderId="68" xfId="1" applyFont="1" applyBorder="1" applyAlignment="1" applyProtection="1">
      <alignment horizontal="center" vertical="center"/>
      <protection locked="0"/>
    </xf>
    <xf numFmtId="184" fontId="12" fillId="0" borderId="23" xfId="2" applyNumberFormat="1" applyFont="1" applyFill="1" applyBorder="1" applyAlignment="1" applyProtection="1">
      <alignment horizontal="center" vertical="center" wrapText="1"/>
      <protection locked="0"/>
    </xf>
    <xf numFmtId="184" fontId="12" fillId="0" borderId="24" xfId="2" applyNumberFormat="1" applyFont="1" applyFill="1" applyBorder="1" applyAlignment="1" applyProtection="1">
      <alignment horizontal="center" vertical="center" wrapText="1"/>
      <protection locked="0"/>
    </xf>
    <xf numFmtId="184" fontId="12" fillId="0" borderId="25" xfId="2" applyNumberFormat="1" applyFont="1" applyFill="1" applyBorder="1" applyAlignment="1" applyProtection="1">
      <alignment horizontal="center" vertical="center" wrapText="1"/>
      <protection locked="0"/>
    </xf>
    <xf numFmtId="197" fontId="38" fillId="0" borderId="75" xfId="1" applyNumberFormat="1" applyFont="1" applyBorder="1" applyAlignment="1">
      <alignment horizontal="center" vertical="center" shrinkToFit="1"/>
    </xf>
    <xf numFmtId="197" fontId="38" fillId="0" borderId="78" xfId="1" applyNumberFormat="1" applyFont="1" applyBorder="1" applyAlignment="1">
      <alignment horizontal="center" vertical="center" shrinkToFit="1"/>
    </xf>
    <xf numFmtId="197" fontId="38" fillId="2" borderId="75" xfId="1" applyNumberFormat="1" applyFont="1" applyFill="1" applyBorder="1" applyAlignment="1">
      <alignment horizontal="center" vertical="center" shrinkToFit="1"/>
    </xf>
    <xf numFmtId="197" fontId="38" fillId="2" borderId="78" xfId="1" applyNumberFormat="1" applyFont="1" applyFill="1" applyBorder="1" applyAlignment="1">
      <alignment horizontal="center" vertical="center" shrinkToFit="1"/>
    </xf>
    <xf numFmtId="183" fontId="9" fillId="0" borderId="27" xfId="1" applyNumberFormat="1" applyFont="1" applyBorder="1" applyAlignment="1" applyProtection="1">
      <alignment horizontal="center" vertical="center"/>
      <protection locked="0"/>
    </xf>
    <xf numFmtId="183" fontId="9" fillId="0" borderId="28" xfId="1" applyNumberFormat="1" applyFont="1" applyBorder="1" applyAlignment="1" applyProtection="1">
      <alignment horizontal="center" vertical="center"/>
      <protection locked="0"/>
    </xf>
    <xf numFmtId="183" fontId="9" fillId="0" borderId="29" xfId="1" applyNumberFormat="1" applyFont="1" applyBorder="1" applyAlignment="1" applyProtection="1">
      <alignment horizontal="center" vertical="center"/>
      <protection locked="0"/>
    </xf>
    <xf numFmtId="198" fontId="41" fillId="2" borderId="2" xfId="1" applyNumberFormat="1" applyFont="1" applyFill="1" applyBorder="1" applyAlignment="1" applyProtection="1">
      <alignment horizontal="center" vertical="center"/>
      <protection locked="0"/>
    </xf>
    <xf numFmtId="0" fontId="38" fillId="0" borderId="73" xfId="1" applyFont="1" applyBorder="1" applyAlignment="1">
      <alignment horizontal="center" vertical="center" shrinkToFit="1"/>
    </xf>
    <xf numFmtId="0" fontId="38" fillId="0" borderId="74" xfId="1" applyFont="1" applyBorder="1" applyAlignment="1">
      <alignment horizontal="center" vertical="center" shrinkToFit="1"/>
    </xf>
    <xf numFmtId="0" fontId="38" fillId="0" borderId="76" xfId="1" applyFont="1" applyBorder="1" applyAlignment="1">
      <alignment horizontal="center" vertical="center" shrinkToFit="1"/>
    </xf>
    <xf numFmtId="0" fontId="38" fillId="0" borderId="77" xfId="1" applyFont="1" applyBorder="1" applyAlignment="1">
      <alignment horizontal="center" vertical="center" shrinkToFit="1"/>
    </xf>
    <xf numFmtId="195" fontId="13" fillId="2" borderId="71" xfId="1" applyNumberFormat="1" applyFont="1" applyFill="1" applyBorder="1" applyAlignment="1" applyProtection="1">
      <alignment horizontal="center" vertical="center"/>
      <protection locked="0"/>
    </xf>
    <xf numFmtId="195" fontId="13" fillId="2" borderId="72" xfId="1" applyNumberFormat="1" applyFont="1" applyFill="1" applyBorder="1" applyAlignment="1" applyProtection="1">
      <alignment horizontal="center" vertical="center"/>
      <protection locked="0"/>
    </xf>
    <xf numFmtId="0" fontId="38" fillId="0" borderId="59" xfId="1" applyFont="1" applyBorder="1" applyAlignment="1">
      <alignment horizontal="center" vertical="center" shrinkToFit="1"/>
    </xf>
    <xf numFmtId="0" fontId="38" fillId="0" borderId="60" xfId="1" applyFont="1" applyBorder="1" applyAlignment="1">
      <alignment horizontal="center" vertical="center" shrinkToFit="1"/>
    </xf>
    <xf numFmtId="0" fontId="10" fillId="4" borderId="26" xfId="1" applyFont="1" applyFill="1" applyBorder="1" applyAlignment="1" applyProtection="1">
      <alignment horizontal="center" vertical="center" wrapText="1"/>
      <protection locked="0"/>
    </xf>
    <xf numFmtId="0" fontId="10" fillId="4" borderId="18" xfId="1" applyFont="1" applyFill="1" applyBorder="1" applyAlignment="1" applyProtection="1">
      <alignment horizontal="center" vertical="center" wrapText="1"/>
      <protection locked="0"/>
    </xf>
    <xf numFmtId="197" fontId="39" fillId="2" borderId="64" xfId="1" applyNumberFormat="1" applyFont="1" applyFill="1" applyBorder="1" applyAlignment="1" applyProtection="1">
      <alignment horizontal="center" vertical="center"/>
      <protection locked="0"/>
    </xf>
    <xf numFmtId="197" fontId="39" fillId="2" borderId="65" xfId="1" applyNumberFormat="1" applyFont="1" applyFill="1" applyBorder="1" applyAlignment="1" applyProtection="1">
      <alignment horizontal="center" vertical="center"/>
      <protection locked="0"/>
    </xf>
    <xf numFmtId="195" fontId="10" fillId="2" borderId="0" xfId="1" applyNumberFormat="1" applyFont="1" applyFill="1" applyAlignment="1" applyProtection="1">
      <alignment horizontal="center" vertical="center"/>
      <protection locked="0"/>
    </xf>
    <xf numFmtId="195" fontId="10" fillId="2" borderId="7" xfId="1" applyNumberFormat="1" applyFont="1" applyFill="1" applyBorder="1" applyAlignment="1" applyProtection="1">
      <alignment horizontal="center" vertical="center"/>
      <protection locked="0"/>
    </xf>
    <xf numFmtId="197" fontId="13" fillId="2" borderId="64" xfId="1" applyNumberFormat="1" applyFont="1" applyFill="1" applyBorder="1" applyAlignment="1" applyProtection="1">
      <alignment horizontal="center" vertical="center"/>
      <protection locked="0"/>
    </xf>
    <xf numFmtId="197" fontId="13" fillId="2" borderId="65" xfId="1" applyNumberFormat="1" applyFont="1" applyFill="1" applyBorder="1" applyAlignment="1" applyProtection="1">
      <alignment horizontal="center" vertical="center"/>
      <protection locked="0"/>
    </xf>
    <xf numFmtId="38" fontId="11" fillId="0" borderId="23" xfId="2" applyFont="1" applyFill="1" applyBorder="1" applyAlignment="1" applyProtection="1">
      <alignment horizontal="center" vertical="center"/>
      <protection locked="0"/>
    </xf>
    <xf numFmtId="38" fontId="11" fillId="0" borderId="24" xfId="2" applyFont="1" applyFill="1" applyBorder="1" applyAlignment="1" applyProtection="1">
      <alignment horizontal="center" vertical="center"/>
      <protection locked="0"/>
    </xf>
    <xf numFmtId="38" fontId="11" fillId="0" borderId="25" xfId="2" applyFont="1" applyFill="1" applyBorder="1" applyAlignment="1" applyProtection="1">
      <alignment horizontal="center" vertical="center"/>
      <protection locked="0"/>
    </xf>
    <xf numFmtId="0" fontId="11" fillId="0" borderId="19" xfId="1" applyFont="1" applyBorder="1" applyAlignment="1" applyProtection="1">
      <alignment horizontal="center" vertical="center" shrinkToFit="1"/>
      <protection locked="0"/>
    </xf>
    <xf numFmtId="0" fontId="11" fillId="0" borderId="20" xfId="1" applyFont="1" applyBorder="1" applyAlignment="1" applyProtection="1">
      <alignment horizontal="center" vertical="center" shrinkToFit="1"/>
      <protection locked="0"/>
    </xf>
    <xf numFmtId="0" fontId="11" fillId="0" borderId="21" xfId="1" applyFont="1" applyBorder="1" applyAlignment="1" applyProtection="1">
      <alignment horizontal="center" vertical="center" shrinkToFit="1"/>
      <protection locked="0"/>
    </xf>
    <xf numFmtId="197" fontId="13" fillId="2" borderId="62" xfId="1" applyNumberFormat="1" applyFont="1" applyFill="1" applyBorder="1" applyAlignment="1" applyProtection="1">
      <alignment horizontal="center" vertical="center"/>
      <protection locked="0"/>
    </xf>
    <xf numFmtId="197" fontId="13" fillId="2" borderId="63" xfId="1" applyNumberFormat="1" applyFont="1" applyFill="1" applyBorder="1" applyAlignment="1" applyProtection="1">
      <alignment horizontal="center" vertical="center"/>
      <protection locked="0"/>
    </xf>
    <xf numFmtId="195" fontId="10" fillId="2" borderId="3" xfId="1" applyNumberFormat="1" applyFont="1" applyFill="1" applyBorder="1" applyAlignment="1" applyProtection="1">
      <alignment horizontal="center" vertical="center"/>
      <protection locked="0"/>
    </xf>
    <xf numFmtId="195" fontId="10" fillId="2" borderId="8" xfId="1" applyNumberFormat="1" applyFont="1" applyFill="1" applyBorder="1" applyAlignment="1" applyProtection="1">
      <alignment horizontal="center" vertical="center"/>
      <protection locked="0"/>
    </xf>
    <xf numFmtId="195" fontId="13" fillId="2" borderId="69" xfId="1" applyNumberFormat="1" applyFont="1" applyFill="1" applyBorder="1" applyAlignment="1" applyProtection="1">
      <alignment horizontal="center" vertical="center"/>
      <protection locked="0"/>
    </xf>
    <xf numFmtId="195" fontId="13" fillId="2" borderId="70" xfId="1" applyNumberFormat="1" applyFont="1" applyFill="1" applyBorder="1" applyAlignment="1" applyProtection="1">
      <alignment horizontal="center" vertical="center"/>
      <protection locked="0"/>
    </xf>
    <xf numFmtId="0" fontId="13" fillId="2" borderId="57" xfId="1" applyFont="1" applyFill="1" applyBorder="1" applyAlignment="1" applyProtection="1">
      <alignment horizontal="center" vertical="center"/>
      <protection locked="0"/>
    </xf>
    <xf numFmtId="0" fontId="13" fillId="2" borderId="58" xfId="1" applyFont="1" applyFill="1" applyBorder="1" applyAlignment="1" applyProtection="1">
      <alignment horizontal="center" vertical="center"/>
      <protection locked="0"/>
    </xf>
    <xf numFmtId="0" fontId="4" fillId="9" borderId="56" xfId="1" applyFont="1" applyFill="1" applyBorder="1" applyAlignment="1" applyProtection="1">
      <alignment horizontal="center" vertical="center"/>
      <protection locked="0"/>
    </xf>
    <xf numFmtId="0" fontId="4" fillId="9" borderId="57" xfId="1" applyFont="1" applyFill="1" applyBorder="1" applyAlignment="1" applyProtection="1">
      <alignment horizontal="center" vertical="center"/>
      <protection locked="0"/>
    </xf>
    <xf numFmtId="0" fontId="4" fillId="9" borderId="58" xfId="1" applyFont="1" applyFill="1" applyBorder="1" applyAlignment="1" applyProtection="1">
      <alignment horizontal="center" vertical="center"/>
      <protection locked="0"/>
    </xf>
    <xf numFmtId="0" fontId="38" fillId="10" borderId="59" xfId="1" applyFont="1" applyFill="1" applyBorder="1" applyAlignment="1">
      <alignment horizontal="center" vertical="center" shrinkToFit="1"/>
    </xf>
    <xf numFmtId="0" fontId="38" fillId="10" borderId="60" xfId="1" applyFont="1" applyFill="1" applyBorder="1" applyAlignment="1">
      <alignment horizontal="center" vertical="center" shrinkToFit="1"/>
    </xf>
    <xf numFmtId="182" fontId="9" fillId="0" borderId="17" xfId="1" applyNumberFormat="1" applyFont="1" applyBorder="1" applyAlignment="1" applyProtection="1">
      <alignment horizontal="center" vertical="center"/>
      <protection locked="0"/>
    </xf>
    <xf numFmtId="0" fontId="13" fillId="2" borderId="1" xfId="1" applyFont="1" applyFill="1" applyBorder="1" applyAlignment="1" applyProtection="1">
      <alignment horizontal="center" vertical="center"/>
      <protection locked="0"/>
    </xf>
    <xf numFmtId="0" fontId="13" fillId="2" borderId="2" xfId="1" applyFont="1" applyFill="1" applyBorder="1" applyAlignment="1" applyProtection="1">
      <alignment horizontal="center" vertical="center"/>
      <protection locked="0"/>
    </xf>
    <xf numFmtId="182" fontId="9" fillId="0" borderId="14" xfId="1" applyNumberFormat="1" applyFont="1" applyBorder="1" applyAlignment="1" applyProtection="1">
      <alignment horizontal="center" vertical="center" shrinkToFit="1"/>
      <protection locked="0"/>
    </xf>
    <xf numFmtId="0" fontId="3" fillId="2" borderId="1" xfId="1" applyFont="1" applyFill="1" applyBorder="1" applyAlignment="1" applyProtection="1">
      <alignment horizontal="center" vertical="center" shrinkToFit="1"/>
      <protection locked="0"/>
    </xf>
    <xf numFmtId="0" fontId="3" fillId="2" borderId="2" xfId="1" applyFont="1" applyFill="1" applyBorder="1" applyAlignment="1" applyProtection="1">
      <alignment horizontal="center" vertical="center" shrinkToFit="1"/>
      <protection locked="0"/>
    </xf>
    <xf numFmtId="0" fontId="3" fillId="2" borderId="3" xfId="1" applyFont="1" applyFill="1" applyBorder="1" applyAlignment="1" applyProtection="1">
      <alignment horizontal="center" vertical="center" shrinkToFit="1"/>
      <protection locked="0"/>
    </xf>
    <xf numFmtId="0" fontId="37" fillId="0" borderId="0" xfId="1" applyFont="1" applyAlignment="1" applyProtection="1">
      <alignment horizontal="right" vertical="center"/>
      <protection locked="0"/>
    </xf>
    <xf numFmtId="195" fontId="3" fillId="0" borderId="0" xfId="1" applyNumberFormat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187" fontId="35" fillId="0" borderId="0" xfId="1" applyNumberFormat="1" applyFont="1" applyAlignment="1" applyProtection="1">
      <alignment horizontal="center" vertical="center"/>
      <protection locked="0"/>
    </xf>
    <xf numFmtId="0" fontId="29" fillId="0" borderId="0" xfId="1" applyFont="1" applyAlignment="1" applyProtection="1">
      <alignment horizontal="left"/>
      <protection locked="0"/>
    </xf>
    <xf numFmtId="193" fontId="30" fillId="0" borderId="53" xfId="1" applyNumberFormat="1" applyFont="1" applyBorder="1" applyAlignment="1">
      <alignment horizontal="left" vertical="center" shrinkToFit="1"/>
    </xf>
    <xf numFmtId="0" fontId="33" fillId="5" borderId="54" xfId="1" applyFont="1" applyFill="1" applyBorder="1" applyAlignment="1" applyProtection="1">
      <alignment horizontal="center" vertical="center" wrapText="1"/>
      <protection locked="0"/>
    </xf>
    <xf numFmtId="194" fontId="33" fillId="0" borderId="55" xfId="1" applyNumberFormat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shrinkToFit="1"/>
      <protection locked="0"/>
    </xf>
    <xf numFmtId="0" fontId="24" fillId="0" borderId="0" xfId="1" applyFont="1" applyAlignment="1">
      <alignment horizontal="right" vertical="center"/>
    </xf>
    <xf numFmtId="0" fontId="25" fillId="3" borderId="0" xfId="1" applyFont="1" applyFill="1" applyAlignment="1" applyProtection="1">
      <alignment horizontal="center" wrapText="1"/>
      <protection locked="0"/>
    </xf>
    <xf numFmtId="0" fontId="26" fillId="0" borderId="0" xfId="1" applyFont="1" applyAlignment="1" applyProtection="1">
      <alignment horizontal="left" vertical="center" shrinkToFit="1"/>
      <protection locked="0"/>
    </xf>
    <xf numFmtId="0" fontId="27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21" fillId="7" borderId="0" xfId="1" applyFont="1" applyFill="1" applyAlignment="1" applyProtection="1">
      <alignment horizontal="center" vertical="center" wrapText="1"/>
      <protection locked="0"/>
    </xf>
    <xf numFmtId="20" fontId="12" fillId="0" borderId="0" xfId="1" applyNumberFormat="1" applyFont="1" applyAlignment="1" applyProtection="1">
      <alignment horizontal="center" vertical="center" shrinkToFit="1"/>
      <protection locked="0"/>
    </xf>
    <xf numFmtId="0" fontId="12" fillId="0" borderId="0" xfId="1" applyFont="1" applyAlignment="1" applyProtection="1">
      <alignment horizontal="center" vertical="center" shrinkToFit="1"/>
      <protection locked="0"/>
    </xf>
    <xf numFmtId="0" fontId="12" fillId="0" borderId="50" xfId="1" applyFont="1" applyBorder="1" applyAlignment="1" applyProtection="1">
      <alignment horizontal="center" vertical="center" shrinkToFit="1"/>
      <protection locked="0"/>
    </xf>
    <xf numFmtId="192" fontId="12" fillId="0" borderId="0" xfId="1" applyNumberFormat="1" applyFont="1" applyAlignment="1" applyProtection="1">
      <alignment horizontal="left" vertical="center" shrinkToFit="1"/>
      <protection locked="0"/>
    </xf>
  </cellXfs>
  <cellStyles count="4">
    <cellStyle name="桁区切り 2" xfId="2" xr:uid="{17D3D0B9-24A9-DC43-A077-812E66736343}"/>
    <cellStyle name="標準" xfId="0" builtinId="0"/>
    <cellStyle name="標準 2" xfId="1" xr:uid="{D10B5235-8F92-4249-A33F-5E092F551C4D}"/>
    <cellStyle name="標準 2 2" xfId="3" xr:uid="{2707C768-CBE8-904E-A224-43E05972C4BB}"/>
  </cellStyles>
  <dxfs count="21">
    <dxf>
      <font>
        <color rgb="FF0000FF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2714-3A35-A84E-AAE5-9B9617B0457C}">
  <sheetPr>
    <tabColor rgb="FF006600"/>
    <pageSetUpPr fitToPage="1"/>
  </sheetPr>
  <dimension ref="A1:CW65"/>
  <sheetViews>
    <sheetView showGridLines="0" tabSelected="1" topLeftCell="A7" zoomScale="80" zoomScaleNormal="80" workbookViewId="0">
      <pane xSplit="2" ySplit="5" topLeftCell="C12" activePane="bottomRight" state="frozen"/>
      <selection pane="topRight" activeCell="C7" sqref="C7"/>
      <selection pane="bottomLeft" activeCell="A12" sqref="A12"/>
      <selection pane="bottomRight" activeCell="C9" sqref="C9:E9"/>
    </sheetView>
  </sheetViews>
  <sheetFormatPr baseColWidth="10" defaultColWidth="7.5703125" defaultRowHeight="14"/>
  <cols>
    <col min="1" max="1" width="4.85546875" style="7" customWidth="1"/>
    <col min="2" max="2" width="17.7109375" style="7" customWidth="1"/>
    <col min="3" max="26" width="13.140625" style="4" customWidth="1"/>
    <col min="27" max="27" width="7.5703125" style="4" customWidth="1"/>
    <col min="28" max="48" width="10.140625" style="4" customWidth="1"/>
    <col min="49" max="49" width="7.5703125" style="4"/>
    <col min="50" max="50" width="16.5703125" style="4" customWidth="1"/>
    <col min="51" max="100" width="30.5703125" style="4" customWidth="1"/>
    <col min="101" max="16384" width="7.5703125" style="4"/>
  </cols>
  <sheetData>
    <row r="1" spans="1:101" s="3" customFormat="1" ht="20.25" customHeight="1">
      <c r="A1" s="285" t="s">
        <v>28</v>
      </c>
      <c r="B1" s="285"/>
      <c r="C1" s="28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101" ht="31.5" customHeight="1">
      <c r="A2" s="286">
        <v>0</v>
      </c>
      <c r="B2" s="287"/>
      <c r="C2" s="287"/>
      <c r="D2" s="289" t="s">
        <v>29</v>
      </c>
      <c r="E2" s="289"/>
      <c r="J2" s="279"/>
      <c r="K2" s="279"/>
      <c r="L2" s="280" t="s">
        <v>30</v>
      </c>
      <c r="M2" s="280"/>
      <c r="N2" s="280"/>
      <c r="P2" s="279"/>
      <c r="Q2" s="279"/>
      <c r="S2" s="279"/>
      <c r="T2" s="279"/>
      <c r="U2" s="280" t="s">
        <v>30</v>
      </c>
      <c r="V2" s="280"/>
      <c r="W2" s="280"/>
    </row>
    <row r="3" spans="1:101" ht="20.25" customHeight="1" thickBot="1">
      <c r="A3" s="288"/>
      <c r="B3" s="288"/>
      <c r="C3" s="288"/>
      <c r="D3" s="289"/>
      <c r="E3" s="289"/>
      <c r="J3" s="279"/>
      <c r="K3" s="279"/>
      <c r="L3" s="280"/>
      <c r="M3" s="280"/>
      <c r="N3" s="280"/>
      <c r="P3" s="279"/>
      <c r="Q3" s="279"/>
      <c r="S3" s="279"/>
      <c r="T3" s="279"/>
      <c r="U3" s="280"/>
      <c r="V3" s="280"/>
      <c r="W3" s="280"/>
    </row>
    <row r="4" spans="1:101" ht="20.25" customHeight="1" thickTop="1">
      <c r="A4" s="281"/>
      <c r="B4" s="282" t="s">
        <v>31</v>
      </c>
      <c r="C4" s="282"/>
      <c r="D4" s="282"/>
      <c r="E4" s="282"/>
      <c r="K4" s="283" t="s">
        <v>32</v>
      </c>
      <c r="L4" s="283"/>
      <c r="M4" s="283"/>
      <c r="N4" s="283"/>
      <c r="Q4" s="283" t="s">
        <v>32</v>
      </c>
      <c r="R4" s="283"/>
      <c r="S4" s="283"/>
      <c r="T4" s="283"/>
      <c r="U4" s="283"/>
      <c r="V4" s="283"/>
      <c r="W4" s="283"/>
      <c r="AB4" s="6">
        <f>MIN(C23,F23,I23,L23)</f>
        <v>0</v>
      </c>
    </row>
    <row r="5" spans="1:101" ht="20.25" customHeight="1">
      <c r="A5" s="281"/>
      <c r="B5" s="282"/>
      <c r="C5" s="282"/>
      <c r="D5" s="282"/>
      <c r="E5" s="282"/>
      <c r="G5" s="7"/>
      <c r="H5" s="7"/>
      <c r="I5" s="7"/>
      <c r="J5" s="7"/>
      <c r="K5" s="283" t="s">
        <v>33</v>
      </c>
      <c r="L5" s="284"/>
      <c r="M5" s="284"/>
      <c r="N5" s="284"/>
      <c r="O5" s="7"/>
      <c r="P5" s="7"/>
      <c r="Q5" s="283" t="s">
        <v>33</v>
      </c>
      <c r="R5" s="283"/>
      <c r="S5" s="283"/>
      <c r="T5" s="283"/>
      <c r="U5" s="284"/>
      <c r="V5" s="284"/>
      <c r="W5" s="284"/>
      <c r="AB5" s="4">
        <f>YEAR(AB4)</f>
        <v>1900</v>
      </c>
    </row>
    <row r="6" spans="1:101" ht="20.25" customHeight="1">
      <c r="A6" s="281"/>
      <c r="B6" s="282"/>
      <c r="C6" s="282"/>
      <c r="D6" s="282"/>
      <c r="E6" s="282"/>
      <c r="F6" s="8"/>
      <c r="G6" s="7"/>
      <c r="H6" s="7"/>
      <c r="I6" s="7"/>
      <c r="J6" s="5"/>
      <c r="K6" s="283"/>
      <c r="L6" s="284"/>
      <c r="M6" s="284"/>
      <c r="N6" s="284"/>
      <c r="O6" s="7"/>
      <c r="P6" s="5"/>
      <c r="Q6" s="283"/>
      <c r="R6" s="283"/>
      <c r="S6" s="283"/>
      <c r="T6" s="283"/>
      <c r="U6" s="284"/>
      <c r="V6" s="284"/>
      <c r="W6" s="284"/>
      <c r="AW6" s="275" t="s">
        <v>34</v>
      </c>
      <c r="AX6" s="275"/>
      <c r="AY6" s="275"/>
    </row>
    <row r="7" spans="1:101" ht="27.5" customHeight="1">
      <c r="A7" s="9"/>
      <c r="B7" s="10">
        <v>2026</v>
      </c>
      <c r="C7" s="276">
        <f ca="1">TODAY()</f>
        <v>46276</v>
      </c>
      <c r="D7" s="276"/>
      <c r="E7" s="11">
        <f>YEAR(C23)</f>
        <v>1900</v>
      </c>
      <c r="F7" s="12"/>
      <c r="G7" s="11"/>
      <c r="H7" s="11">
        <f>YEAR(F23)</f>
        <v>1900</v>
      </c>
      <c r="I7" s="13"/>
      <c r="J7" s="13"/>
      <c r="K7" s="11">
        <f>YEAR(I23)</f>
        <v>1900</v>
      </c>
      <c r="L7" s="14"/>
      <c r="M7" s="14"/>
      <c r="N7" s="11">
        <f>YEAR(L23)</f>
        <v>1900</v>
      </c>
      <c r="O7" s="13"/>
      <c r="P7" s="13"/>
      <c r="Q7" s="11">
        <f>YEAR(O23)</f>
        <v>1900</v>
      </c>
      <c r="R7" s="13"/>
      <c r="S7" s="13"/>
      <c r="T7" s="11">
        <f>YEAR(R23)</f>
        <v>1900</v>
      </c>
      <c r="U7" s="14"/>
      <c r="V7" s="14"/>
      <c r="W7" s="11">
        <f>YEAR(U23)</f>
        <v>1900</v>
      </c>
      <c r="AW7" s="275"/>
      <c r="AX7" s="275"/>
      <c r="AY7" s="275"/>
    </row>
    <row r="8" spans="1:101" ht="24" customHeight="1" thickBot="1">
      <c r="A8" s="277" t="s">
        <v>35</v>
      </c>
      <c r="B8" s="277"/>
      <c r="C8" s="15"/>
      <c r="D8" s="278">
        <f>E7-C11</f>
        <v>1900</v>
      </c>
      <c r="E8" s="278"/>
      <c r="F8" s="16"/>
      <c r="G8" s="278">
        <f>H7-F11</f>
        <v>1900</v>
      </c>
      <c r="H8" s="278"/>
      <c r="I8" s="17"/>
      <c r="J8" s="278">
        <f>K7-I11</f>
        <v>1900</v>
      </c>
      <c r="K8" s="278"/>
      <c r="L8" s="16"/>
      <c r="M8" s="278">
        <f>N7-L11</f>
        <v>1900</v>
      </c>
      <c r="N8" s="278"/>
      <c r="O8" s="17"/>
      <c r="P8" s="278">
        <f>Q7-O11</f>
        <v>1900</v>
      </c>
      <c r="Q8" s="278"/>
      <c r="R8" s="17"/>
      <c r="S8" s="278">
        <f>T7-R11</f>
        <v>1900</v>
      </c>
      <c r="T8" s="278"/>
      <c r="U8" s="16"/>
      <c r="V8" s="278">
        <f>W7-U11</f>
        <v>1900</v>
      </c>
      <c r="W8" s="278"/>
      <c r="AI8" s="18">
        <v>35</v>
      </c>
      <c r="AJ8" s="19">
        <v>80</v>
      </c>
      <c r="AK8" s="274">
        <f>DATE(YEAR(C23)+AI8,MONTH(C23),DAY(C23))</f>
        <v>12784</v>
      </c>
      <c r="AL8" s="274">
        <f>DATE(YEAR(F23)+AI8,MONTH(F23),DAY(F23))</f>
        <v>12784</v>
      </c>
      <c r="AM8" s="274">
        <f>DATE(YEAR(I23)+AI8,MONTH(I23),DAY(I23))</f>
        <v>12784</v>
      </c>
      <c r="AN8" s="274">
        <f>DATE(YEAR(L23)+AI8,MONTH(L23),DAY(L23))</f>
        <v>12784</v>
      </c>
      <c r="AW8" s="275"/>
      <c r="AX8" s="275"/>
      <c r="AY8" s="275"/>
      <c r="AZ8" s="20"/>
    </row>
    <row r="9" spans="1:101" s="22" customFormat="1" ht="31" customHeight="1">
      <c r="A9" s="21"/>
      <c r="B9" s="21"/>
      <c r="C9" s="268"/>
      <c r="D9" s="269"/>
      <c r="E9" s="270"/>
      <c r="F9" s="268"/>
      <c r="G9" s="269"/>
      <c r="H9" s="270"/>
      <c r="I9" s="268"/>
      <c r="J9" s="269"/>
      <c r="K9" s="270"/>
      <c r="L9" s="268"/>
      <c r="M9" s="269"/>
      <c r="N9" s="270"/>
      <c r="O9" s="268"/>
      <c r="P9" s="269"/>
      <c r="Q9" s="270"/>
      <c r="R9" s="268"/>
      <c r="S9" s="269"/>
      <c r="T9" s="270"/>
      <c r="U9" s="268"/>
      <c r="V9" s="269"/>
      <c r="W9" s="270"/>
      <c r="AI9" s="271" t="s">
        <v>36</v>
      </c>
      <c r="AJ9" s="271"/>
      <c r="AK9" s="274"/>
      <c r="AL9" s="274"/>
      <c r="AM9" s="274"/>
      <c r="AN9" s="274"/>
      <c r="AW9" s="275"/>
      <c r="AX9" s="275"/>
      <c r="AY9" s="275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pans="1:101" ht="21" customHeight="1">
      <c r="A10" s="23"/>
      <c r="B10" s="23"/>
      <c r="C10" s="24"/>
      <c r="D10" s="25"/>
      <c r="E10" s="26"/>
      <c r="F10" s="24"/>
      <c r="G10" s="25"/>
      <c r="H10" s="26"/>
      <c r="I10" s="24"/>
      <c r="J10" s="25"/>
      <c r="K10" s="26"/>
      <c r="L10" s="24"/>
      <c r="M10" s="25"/>
      <c r="N10" s="26"/>
      <c r="O10" s="24"/>
      <c r="P10" s="25"/>
      <c r="Q10" s="26"/>
      <c r="R10" s="24"/>
      <c r="S10" s="25"/>
      <c r="T10" s="26"/>
      <c r="U10" s="24"/>
      <c r="V10" s="25"/>
      <c r="W10" s="26"/>
      <c r="AI10" s="271" t="s">
        <v>37</v>
      </c>
      <c r="AJ10" s="271"/>
      <c r="AK10" s="272">
        <f>AJ8-AB16</f>
        <v>206</v>
      </c>
      <c r="AW10" s="275"/>
      <c r="AX10" s="275"/>
      <c r="AY10" s="275"/>
    </row>
    <row r="11" spans="1:101" ht="26.25" customHeight="1" thickBot="1">
      <c r="A11" s="27"/>
      <c r="B11" s="27"/>
      <c r="C11" s="28"/>
      <c r="D11" s="29" t="str">
        <f>IF(C9="","",$B$7-C11)</f>
        <v/>
      </c>
      <c r="E11" s="30"/>
      <c r="F11" s="28"/>
      <c r="G11" s="29" t="str">
        <f>IF(F9="","",$B$7-F11)</f>
        <v/>
      </c>
      <c r="H11" s="30"/>
      <c r="I11" s="28"/>
      <c r="J11" s="29" t="str">
        <f>IF(I9="","",$B$7-I11)</f>
        <v/>
      </c>
      <c r="K11" s="30"/>
      <c r="L11" s="28"/>
      <c r="M11" s="29" t="str">
        <f>IF(L9="","",$B$7-L11)</f>
        <v/>
      </c>
      <c r="N11" s="30"/>
      <c r="O11" s="28"/>
      <c r="P11" s="29" t="str">
        <f>IF(O9="","",$B$7-O11)</f>
        <v/>
      </c>
      <c r="Q11" s="30"/>
      <c r="R11" s="28"/>
      <c r="S11" s="29" t="str">
        <f>IF(R9="","",$B$7-R11)</f>
        <v/>
      </c>
      <c r="T11" s="30"/>
      <c r="U11" s="28"/>
      <c r="V11" s="29" t="str">
        <f>IF(U9="","",$B$7-U11)</f>
        <v/>
      </c>
      <c r="W11" s="30"/>
      <c r="AB11" s="273"/>
      <c r="AC11" s="273"/>
      <c r="AD11" s="273"/>
      <c r="AE11" s="273"/>
      <c r="AI11" s="271"/>
      <c r="AJ11" s="271"/>
      <c r="AK11" s="272"/>
      <c r="AM11" s="31" t="s">
        <v>38</v>
      </c>
      <c r="AW11" s="275"/>
      <c r="AX11" s="275"/>
      <c r="AY11" s="275"/>
    </row>
    <row r="12" spans="1:101" ht="60" customHeight="1" thickBot="1">
      <c r="A12" s="94" t="s">
        <v>0</v>
      </c>
      <c r="B12" s="32" t="s">
        <v>27</v>
      </c>
      <c r="C12" s="91"/>
      <c r="D12" s="92"/>
      <c r="E12" s="92"/>
      <c r="F12" s="91"/>
      <c r="G12" s="92"/>
      <c r="H12" s="92"/>
      <c r="I12" s="91"/>
      <c r="J12" s="92"/>
      <c r="K12" s="92"/>
      <c r="L12" s="91"/>
      <c r="M12" s="92"/>
      <c r="N12" s="92"/>
      <c r="O12" s="91"/>
      <c r="P12" s="92"/>
      <c r="Q12" s="92"/>
      <c r="R12" s="91"/>
      <c r="S12" s="92"/>
      <c r="T12" s="92"/>
      <c r="U12" s="91"/>
      <c r="V12" s="92"/>
      <c r="W12" s="92"/>
      <c r="X12" s="33"/>
      <c r="AW12" s="93" t="s">
        <v>39</v>
      </c>
      <c r="AX12" s="93"/>
      <c r="AY12" s="34">
        <f>2022+1</f>
        <v>2023</v>
      </c>
      <c r="AZ12" s="34">
        <f>AY12+1</f>
        <v>2024</v>
      </c>
      <c r="BA12" s="34">
        <f t="shared" ref="BA12" si="0">AZ12+1</f>
        <v>2025</v>
      </c>
      <c r="BB12" s="34">
        <f t="shared" ref="BB12" si="1">BA12+1</f>
        <v>2026</v>
      </c>
      <c r="BC12" s="34">
        <f t="shared" ref="BC12" si="2">BB12+1</f>
        <v>2027</v>
      </c>
      <c r="BD12" s="34">
        <f t="shared" ref="BD12" si="3">BC12+1</f>
        <v>2028</v>
      </c>
      <c r="BE12" s="34">
        <f t="shared" ref="BE12" si="4">BD12+1</f>
        <v>2029</v>
      </c>
      <c r="BF12" s="34">
        <f t="shared" ref="BF12" si="5">BE12+1</f>
        <v>2030</v>
      </c>
      <c r="BG12" s="34">
        <f t="shared" ref="BG12" si="6">BF12+1</f>
        <v>2031</v>
      </c>
      <c r="BH12" s="34">
        <f t="shared" ref="BH12" si="7">BG12+1</f>
        <v>2032</v>
      </c>
      <c r="BI12" s="34">
        <f t="shared" ref="BI12" si="8">BH12+1</f>
        <v>2033</v>
      </c>
      <c r="BJ12" s="34">
        <f t="shared" ref="BJ12" si="9">BI12+1</f>
        <v>2034</v>
      </c>
      <c r="BK12" s="34">
        <f t="shared" ref="BK12" si="10">BJ12+1</f>
        <v>2035</v>
      </c>
      <c r="BL12" s="34">
        <f t="shared" ref="BL12" si="11">BK12+1</f>
        <v>2036</v>
      </c>
      <c r="BM12" s="34">
        <f t="shared" ref="BM12" si="12">BL12+1</f>
        <v>2037</v>
      </c>
      <c r="BN12" s="34">
        <f t="shared" ref="BN12" si="13">BM12+1</f>
        <v>2038</v>
      </c>
      <c r="BO12" s="34">
        <f t="shared" ref="BO12" si="14">BN12+1</f>
        <v>2039</v>
      </c>
      <c r="BP12" s="34">
        <f t="shared" ref="BP12" si="15">BO12+1</f>
        <v>2040</v>
      </c>
      <c r="BQ12" s="34">
        <f t="shared" ref="BQ12" si="16">BP12+1</f>
        <v>2041</v>
      </c>
      <c r="BR12" s="34">
        <f t="shared" ref="BR12" si="17">BQ12+1</f>
        <v>2042</v>
      </c>
      <c r="BS12" s="34">
        <f t="shared" ref="BS12" si="18">BR12+1</f>
        <v>2043</v>
      </c>
      <c r="BT12" s="34">
        <f t="shared" ref="BT12" si="19">BS12+1</f>
        <v>2044</v>
      </c>
      <c r="BU12" s="34">
        <f t="shared" ref="BU12" si="20">BT12+1</f>
        <v>2045</v>
      </c>
      <c r="BV12" s="34">
        <f t="shared" ref="BV12" si="21">BU12+1</f>
        <v>2046</v>
      </c>
      <c r="BW12" s="34">
        <f t="shared" ref="BW12" si="22">BV12+1</f>
        <v>2047</v>
      </c>
      <c r="BX12" s="34">
        <f t="shared" ref="BX12" si="23">BW12+1</f>
        <v>2048</v>
      </c>
      <c r="BY12" s="34">
        <f t="shared" ref="BY12" si="24">BX12+1</f>
        <v>2049</v>
      </c>
      <c r="BZ12" s="34">
        <f t="shared" ref="BZ12" si="25">BY12+1</f>
        <v>2050</v>
      </c>
      <c r="CA12" s="34">
        <f t="shared" ref="CA12" si="26">BZ12+1</f>
        <v>2051</v>
      </c>
      <c r="CB12" s="34">
        <f t="shared" ref="CB12" si="27">CA12+1</f>
        <v>2052</v>
      </c>
      <c r="CC12" s="34">
        <f t="shared" ref="CC12" si="28">CB12+1</f>
        <v>2053</v>
      </c>
      <c r="CD12" s="34">
        <f t="shared" ref="CD12" si="29">CC12+1</f>
        <v>2054</v>
      </c>
      <c r="CE12" s="34">
        <f t="shared" ref="CE12" si="30">CD12+1</f>
        <v>2055</v>
      </c>
      <c r="CF12" s="34">
        <f t="shared" ref="CF12" si="31">CE12+1</f>
        <v>2056</v>
      </c>
      <c r="CG12" s="34">
        <f t="shared" ref="CG12" si="32">CF12+1</f>
        <v>2057</v>
      </c>
      <c r="CH12" s="34">
        <f t="shared" ref="CH12" si="33">CG12+1</f>
        <v>2058</v>
      </c>
      <c r="CI12" s="34">
        <f t="shared" ref="CI12" si="34">CH12+1</f>
        <v>2059</v>
      </c>
      <c r="CJ12" s="34">
        <f t="shared" ref="CJ12" si="35">CI12+1</f>
        <v>2060</v>
      </c>
      <c r="CK12" s="34">
        <f t="shared" ref="CK12" si="36">CJ12+1</f>
        <v>2061</v>
      </c>
      <c r="CL12" s="34">
        <f t="shared" ref="CL12" si="37">CK12+1</f>
        <v>2062</v>
      </c>
      <c r="CM12" s="34">
        <f t="shared" ref="CM12" si="38">CL12+1</f>
        <v>2063</v>
      </c>
      <c r="CN12" s="34">
        <f t="shared" ref="CN12" si="39">CM12+1</f>
        <v>2064</v>
      </c>
      <c r="CO12" s="34">
        <f t="shared" ref="CO12" si="40">CN12+1</f>
        <v>2065</v>
      </c>
      <c r="CP12" s="34">
        <f t="shared" ref="CP12" si="41">CO12+1</f>
        <v>2066</v>
      </c>
      <c r="CQ12" s="34">
        <f t="shared" ref="CQ12" si="42">CP12+1</f>
        <v>2067</v>
      </c>
      <c r="CR12" s="34">
        <f t="shared" ref="CR12" si="43">CQ12+1</f>
        <v>2068</v>
      </c>
      <c r="CS12" s="34">
        <f t="shared" ref="CS12" si="44">CR12+1</f>
        <v>2069</v>
      </c>
      <c r="CT12" s="34">
        <f t="shared" ref="CT12" si="45">CS12+1</f>
        <v>2070</v>
      </c>
      <c r="CU12" s="34">
        <f t="shared" ref="CU12" si="46">CT12+1</f>
        <v>2071</v>
      </c>
      <c r="CV12" s="34">
        <f t="shared" ref="CV12" si="47">CU12+1</f>
        <v>2072</v>
      </c>
    </row>
    <row r="13" spans="1:101" ht="60" customHeight="1" thickTop="1" thickBot="1">
      <c r="A13" s="95"/>
      <c r="B13" s="32" t="s">
        <v>26</v>
      </c>
      <c r="C13" s="91"/>
      <c r="D13" s="92"/>
      <c r="E13" s="92"/>
      <c r="F13" s="91"/>
      <c r="G13" s="92"/>
      <c r="H13" s="92"/>
      <c r="I13" s="91"/>
      <c r="J13" s="92"/>
      <c r="K13" s="92"/>
      <c r="L13" s="91"/>
      <c r="M13" s="92"/>
      <c r="N13" s="92"/>
      <c r="O13" s="91"/>
      <c r="P13" s="92"/>
      <c r="Q13" s="92"/>
      <c r="R13" s="91"/>
      <c r="S13" s="92"/>
      <c r="T13" s="92"/>
      <c r="U13" s="91"/>
      <c r="V13" s="92"/>
      <c r="W13" s="92"/>
      <c r="X13" s="33"/>
      <c r="AW13" s="93" t="s">
        <v>39</v>
      </c>
      <c r="AX13" s="93"/>
      <c r="AY13" s="34">
        <f>2022+1</f>
        <v>2023</v>
      </c>
      <c r="AZ13" s="34">
        <f>AY13+1</f>
        <v>2024</v>
      </c>
      <c r="BA13" s="34">
        <f t="shared" ref="BA13:CV13" si="48">AZ13+1</f>
        <v>2025</v>
      </c>
      <c r="BB13" s="34">
        <f t="shared" si="48"/>
        <v>2026</v>
      </c>
      <c r="BC13" s="34">
        <f t="shared" si="48"/>
        <v>2027</v>
      </c>
      <c r="BD13" s="34">
        <f t="shared" si="48"/>
        <v>2028</v>
      </c>
      <c r="BE13" s="34">
        <f t="shared" si="48"/>
        <v>2029</v>
      </c>
      <c r="BF13" s="34">
        <f t="shared" si="48"/>
        <v>2030</v>
      </c>
      <c r="BG13" s="34">
        <f t="shared" si="48"/>
        <v>2031</v>
      </c>
      <c r="BH13" s="34">
        <f t="shared" si="48"/>
        <v>2032</v>
      </c>
      <c r="BI13" s="34">
        <f t="shared" si="48"/>
        <v>2033</v>
      </c>
      <c r="BJ13" s="34">
        <f t="shared" si="48"/>
        <v>2034</v>
      </c>
      <c r="BK13" s="34">
        <f t="shared" si="48"/>
        <v>2035</v>
      </c>
      <c r="BL13" s="34">
        <f t="shared" si="48"/>
        <v>2036</v>
      </c>
      <c r="BM13" s="34">
        <f t="shared" si="48"/>
        <v>2037</v>
      </c>
      <c r="BN13" s="34">
        <f t="shared" si="48"/>
        <v>2038</v>
      </c>
      <c r="BO13" s="34">
        <f t="shared" si="48"/>
        <v>2039</v>
      </c>
      <c r="BP13" s="34">
        <f t="shared" si="48"/>
        <v>2040</v>
      </c>
      <c r="BQ13" s="34">
        <f t="shared" si="48"/>
        <v>2041</v>
      </c>
      <c r="BR13" s="34">
        <f t="shared" si="48"/>
        <v>2042</v>
      </c>
      <c r="BS13" s="34">
        <f t="shared" si="48"/>
        <v>2043</v>
      </c>
      <c r="BT13" s="34">
        <f t="shared" si="48"/>
        <v>2044</v>
      </c>
      <c r="BU13" s="34">
        <f t="shared" si="48"/>
        <v>2045</v>
      </c>
      <c r="BV13" s="34">
        <f t="shared" si="48"/>
        <v>2046</v>
      </c>
      <c r="BW13" s="34">
        <f t="shared" si="48"/>
        <v>2047</v>
      </c>
      <c r="BX13" s="34">
        <f t="shared" si="48"/>
        <v>2048</v>
      </c>
      <c r="BY13" s="34">
        <f t="shared" si="48"/>
        <v>2049</v>
      </c>
      <c r="BZ13" s="34">
        <f t="shared" si="48"/>
        <v>2050</v>
      </c>
      <c r="CA13" s="34">
        <f t="shared" si="48"/>
        <v>2051</v>
      </c>
      <c r="CB13" s="34">
        <f t="shared" si="48"/>
        <v>2052</v>
      </c>
      <c r="CC13" s="34">
        <f t="shared" si="48"/>
        <v>2053</v>
      </c>
      <c r="CD13" s="34">
        <f t="shared" si="48"/>
        <v>2054</v>
      </c>
      <c r="CE13" s="34">
        <f t="shared" si="48"/>
        <v>2055</v>
      </c>
      <c r="CF13" s="34">
        <f t="shared" si="48"/>
        <v>2056</v>
      </c>
      <c r="CG13" s="34">
        <f t="shared" si="48"/>
        <v>2057</v>
      </c>
      <c r="CH13" s="34">
        <f t="shared" si="48"/>
        <v>2058</v>
      </c>
      <c r="CI13" s="34">
        <f t="shared" si="48"/>
        <v>2059</v>
      </c>
      <c r="CJ13" s="34">
        <f t="shared" si="48"/>
        <v>2060</v>
      </c>
      <c r="CK13" s="34">
        <f t="shared" si="48"/>
        <v>2061</v>
      </c>
      <c r="CL13" s="34">
        <f t="shared" si="48"/>
        <v>2062</v>
      </c>
      <c r="CM13" s="34">
        <f t="shared" si="48"/>
        <v>2063</v>
      </c>
      <c r="CN13" s="34">
        <f t="shared" si="48"/>
        <v>2064</v>
      </c>
      <c r="CO13" s="34">
        <f t="shared" si="48"/>
        <v>2065</v>
      </c>
      <c r="CP13" s="34">
        <f t="shared" si="48"/>
        <v>2066</v>
      </c>
      <c r="CQ13" s="34">
        <f t="shared" si="48"/>
        <v>2067</v>
      </c>
      <c r="CR13" s="34">
        <f t="shared" si="48"/>
        <v>2068</v>
      </c>
      <c r="CS13" s="34">
        <f t="shared" si="48"/>
        <v>2069</v>
      </c>
      <c r="CT13" s="34">
        <f t="shared" si="48"/>
        <v>2070</v>
      </c>
      <c r="CU13" s="34">
        <f t="shared" si="48"/>
        <v>2071</v>
      </c>
      <c r="CV13" s="34">
        <f t="shared" si="48"/>
        <v>2072</v>
      </c>
    </row>
    <row r="14" spans="1:101" ht="60" customHeight="1" thickTop="1" thickBot="1">
      <c r="A14" s="169" t="s">
        <v>1</v>
      </c>
      <c r="B14" s="35" t="s">
        <v>2</v>
      </c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AB14" s="259" t="s">
        <v>40</v>
      </c>
      <c r="AC14" s="260"/>
      <c r="AD14" s="260"/>
      <c r="AE14" s="260"/>
      <c r="AF14" s="260"/>
      <c r="AG14" s="260"/>
      <c r="AH14" s="260"/>
      <c r="AI14" s="260"/>
      <c r="AJ14" s="260"/>
      <c r="AK14" s="260"/>
      <c r="AL14" s="261"/>
      <c r="AW14" s="262" t="s">
        <v>41</v>
      </c>
      <c r="AX14" s="263"/>
      <c r="AY14" s="36">
        <v>1</v>
      </c>
      <c r="AZ14" s="36">
        <v>2</v>
      </c>
      <c r="BA14" s="36">
        <v>3</v>
      </c>
      <c r="BB14" s="37">
        <v>4</v>
      </c>
      <c r="BC14" s="36">
        <v>5</v>
      </c>
      <c r="BD14" s="36">
        <v>6</v>
      </c>
      <c r="BE14" s="36">
        <v>7</v>
      </c>
      <c r="BF14" s="36">
        <v>8</v>
      </c>
      <c r="BG14" s="36">
        <v>9</v>
      </c>
      <c r="BH14" s="36">
        <v>10</v>
      </c>
      <c r="BI14" s="36">
        <v>11</v>
      </c>
      <c r="BJ14" s="36">
        <v>12</v>
      </c>
      <c r="BK14" s="37">
        <v>13</v>
      </c>
      <c r="BL14" s="36">
        <v>14</v>
      </c>
      <c r="BM14" s="36">
        <v>15</v>
      </c>
      <c r="BN14" s="36">
        <v>16</v>
      </c>
      <c r="BO14" s="36">
        <v>17</v>
      </c>
      <c r="BP14" s="36">
        <v>18</v>
      </c>
      <c r="BQ14" s="36">
        <v>19</v>
      </c>
      <c r="BR14" s="36">
        <v>20</v>
      </c>
      <c r="BS14" s="36">
        <v>21</v>
      </c>
      <c r="BT14" s="36">
        <v>22</v>
      </c>
      <c r="BU14" s="36">
        <v>23</v>
      </c>
      <c r="BV14" s="36">
        <v>24</v>
      </c>
      <c r="BW14" s="36">
        <v>25</v>
      </c>
      <c r="BX14" s="36">
        <v>26</v>
      </c>
      <c r="BY14" s="36">
        <v>27</v>
      </c>
      <c r="BZ14" s="36">
        <v>28</v>
      </c>
      <c r="CA14" s="36">
        <v>29</v>
      </c>
      <c r="CB14" s="36">
        <v>30</v>
      </c>
      <c r="CC14" s="37">
        <v>31</v>
      </c>
      <c r="CD14" s="36">
        <v>32</v>
      </c>
      <c r="CE14" s="36">
        <v>33</v>
      </c>
      <c r="CF14" s="36">
        <v>34</v>
      </c>
      <c r="CG14" s="37">
        <v>35</v>
      </c>
      <c r="CH14" s="37">
        <v>36</v>
      </c>
      <c r="CI14" s="37">
        <v>37</v>
      </c>
      <c r="CJ14" s="37">
        <v>38</v>
      </c>
      <c r="CK14" s="37">
        <v>39</v>
      </c>
      <c r="CL14" s="37">
        <v>40</v>
      </c>
      <c r="CM14" s="37">
        <v>41</v>
      </c>
      <c r="CN14" s="37">
        <v>42</v>
      </c>
      <c r="CO14" s="37">
        <v>43</v>
      </c>
      <c r="CP14" s="37">
        <v>44</v>
      </c>
      <c r="CQ14" s="37">
        <v>45</v>
      </c>
      <c r="CR14" s="37">
        <v>46</v>
      </c>
      <c r="CS14" s="37">
        <v>47</v>
      </c>
      <c r="CT14" s="37">
        <v>48</v>
      </c>
      <c r="CU14" s="37">
        <v>49</v>
      </c>
      <c r="CV14" s="37">
        <v>50</v>
      </c>
    </row>
    <row r="15" spans="1:101" ht="60" customHeight="1" thickBot="1">
      <c r="A15" s="95"/>
      <c r="B15" s="38" t="s">
        <v>3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AB15" s="265" t="s">
        <v>42</v>
      </c>
      <c r="AC15" s="266"/>
      <c r="AD15" s="39" t="s">
        <v>43</v>
      </c>
      <c r="AE15" s="257" t="s">
        <v>44</v>
      </c>
      <c r="AF15" s="257"/>
      <c r="AG15" s="39" t="s">
        <v>43</v>
      </c>
      <c r="AH15" s="257" t="s">
        <v>45</v>
      </c>
      <c r="AI15" s="257"/>
      <c r="AJ15" s="39" t="s">
        <v>43</v>
      </c>
      <c r="AK15" s="257" t="s">
        <v>46</v>
      </c>
      <c r="AL15" s="258"/>
      <c r="AW15" s="235" t="s">
        <v>47</v>
      </c>
      <c r="AX15" s="236"/>
      <c r="AY15" s="40">
        <f>AE16</f>
        <v>0</v>
      </c>
      <c r="AZ15" s="40">
        <f>AY15+1</f>
        <v>1</v>
      </c>
      <c r="BA15" s="40">
        <f t="shared" ref="BA15:BP18" si="49">AZ15+1</f>
        <v>2</v>
      </c>
      <c r="BB15" s="41">
        <f t="shared" si="49"/>
        <v>3</v>
      </c>
      <c r="BC15" s="40">
        <f t="shared" si="49"/>
        <v>4</v>
      </c>
      <c r="BD15" s="40">
        <f t="shared" si="49"/>
        <v>5</v>
      </c>
      <c r="BE15" s="40">
        <f t="shared" si="49"/>
        <v>6</v>
      </c>
      <c r="BF15" s="40">
        <f t="shared" si="49"/>
        <v>7</v>
      </c>
      <c r="BG15" s="40">
        <f t="shared" si="49"/>
        <v>8</v>
      </c>
      <c r="BH15" s="40">
        <f t="shared" si="49"/>
        <v>9</v>
      </c>
      <c r="BI15" s="40">
        <f t="shared" si="49"/>
        <v>10</v>
      </c>
      <c r="BJ15" s="40">
        <f t="shared" si="49"/>
        <v>11</v>
      </c>
      <c r="BK15" s="41">
        <f t="shared" si="49"/>
        <v>12</v>
      </c>
      <c r="BL15" s="40">
        <f t="shared" si="49"/>
        <v>13</v>
      </c>
      <c r="BM15" s="40">
        <f t="shared" si="49"/>
        <v>14</v>
      </c>
      <c r="BN15" s="40">
        <f t="shared" si="49"/>
        <v>15</v>
      </c>
      <c r="BO15" s="40">
        <f t="shared" si="49"/>
        <v>16</v>
      </c>
      <c r="BP15" s="40">
        <f t="shared" si="49"/>
        <v>17</v>
      </c>
      <c r="BQ15" s="40">
        <f t="shared" ref="BQ15:CF18" si="50">BP15+1</f>
        <v>18</v>
      </c>
      <c r="BR15" s="40">
        <f t="shared" si="50"/>
        <v>19</v>
      </c>
      <c r="BS15" s="40">
        <f t="shared" si="50"/>
        <v>20</v>
      </c>
      <c r="BT15" s="40">
        <f t="shared" si="50"/>
        <v>21</v>
      </c>
      <c r="BU15" s="40">
        <f t="shared" si="50"/>
        <v>22</v>
      </c>
      <c r="BV15" s="40">
        <f t="shared" si="50"/>
        <v>23</v>
      </c>
      <c r="BW15" s="40">
        <f t="shared" si="50"/>
        <v>24</v>
      </c>
      <c r="BX15" s="40">
        <f t="shared" si="50"/>
        <v>25</v>
      </c>
      <c r="BY15" s="40">
        <f t="shared" si="50"/>
        <v>26</v>
      </c>
      <c r="BZ15" s="40">
        <f t="shared" si="50"/>
        <v>27</v>
      </c>
      <c r="CA15" s="40">
        <f t="shared" si="50"/>
        <v>28</v>
      </c>
      <c r="CB15" s="40">
        <f t="shared" si="50"/>
        <v>29</v>
      </c>
      <c r="CC15" s="41">
        <f t="shared" si="50"/>
        <v>30</v>
      </c>
      <c r="CD15" s="40">
        <f t="shared" si="50"/>
        <v>31</v>
      </c>
      <c r="CE15" s="40">
        <f t="shared" si="50"/>
        <v>32</v>
      </c>
      <c r="CF15" s="40">
        <f t="shared" si="50"/>
        <v>33</v>
      </c>
      <c r="CG15" s="41">
        <f t="shared" ref="CG15:CV18" si="51">CF15+1</f>
        <v>34</v>
      </c>
      <c r="CH15" s="41">
        <f t="shared" si="51"/>
        <v>35</v>
      </c>
      <c r="CI15" s="41">
        <f t="shared" si="51"/>
        <v>36</v>
      </c>
      <c r="CJ15" s="41">
        <f t="shared" si="51"/>
        <v>37</v>
      </c>
      <c r="CK15" s="41">
        <f t="shared" si="51"/>
        <v>38</v>
      </c>
      <c r="CL15" s="41">
        <f t="shared" si="51"/>
        <v>39</v>
      </c>
      <c r="CM15" s="41">
        <f t="shared" si="51"/>
        <v>40</v>
      </c>
      <c r="CN15" s="41">
        <f t="shared" si="51"/>
        <v>41</v>
      </c>
      <c r="CO15" s="41">
        <f t="shared" si="51"/>
        <v>42</v>
      </c>
      <c r="CP15" s="41">
        <f t="shared" si="51"/>
        <v>43</v>
      </c>
      <c r="CQ15" s="41">
        <f t="shared" si="51"/>
        <v>44</v>
      </c>
      <c r="CR15" s="41">
        <f t="shared" si="51"/>
        <v>45</v>
      </c>
      <c r="CS15" s="41">
        <f t="shared" si="51"/>
        <v>46</v>
      </c>
      <c r="CT15" s="41">
        <f t="shared" si="51"/>
        <v>47</v>
      </c>
      <c r="CU15" s="41">
        <f t="shared" si="51"/>
        <v>48</v>
      </c>
      <c r="CV15" s="41">
        <f t="shared" si="51"/>
        <v>49</v>
      </c>
    </row>
    <row r="16" spans="1:101" ht="60" customHeight="1" thickTop="1" thickBot="1">
      <c r="A16" s="169" t="s">
        <v>4</v>
      </c>
      <c r="B16" s="42" t="s">
        <v>5</v>
      </c>
      <c r="C16" s="248"/>
      <c r="D16" s="249"/>
      <c r="E16" s="250"/>
      <c r="F16" s="248"/>
      <c r="G16" s="249"/>
      <c r="H16" s="250"/>
      <c r="I16" s="248"/>
      <c r="J16" s="249"/>
      <c r="K16" s="250"/>
      <c r="L16" s="248"/>
      <c r="M16" s="249"/>
      <c r="N16" s="250"/>
      <c r="O16" s="248"/>
      <c r="P16" s="249"/>
      <c r="Q16" s="250"/>
      <c r="R16" s="248"/>
      <c r="S16" s="249"/>
      <c r="T16" s="250"/>
      <c r="U16" s="248"/>
      <c r="V16" s="249"/>
      <c r="W16" s="250"/>
      <c r="AB16" s="251">
        <f>IFERROR(AE16-AD16,"")</f>
        <v>-126</v>
      </c>
      <c r="AC16" s="252"/>
      <c r="AD16" s="253">
        <f>AE17-AB17</f>
        <v>126</v>
      </c>
      <c r="AE16" s="239"/>
      <c r="AF16" s="240"/>
      <c r="AG16" s="241">
        <f>AH16-AE16</f>
        <v>0</v>
      </c>
      <c r="AH16" s="239"/>
      <c r="AI16" s="240"/>
      <c r="AJ16" s="241">
        <f>AE18-AG16</f>
        <v>0</v>
      </c>
      <c r="AK16" s="243">
        <f>AE16+AE18</f>
        <v>0</v>
      </c>
      <c r="AL16" s="244"/>
      <c r="AW16" s="235"/>
      <c r="AX16" s="236"/>
      <c r="AY16" s="40" t="s">
        <v>48</v>
      </c>
      <c r="AZ16" s="40" t="e">
        <f>AY16+1</f>
        <v>#VALUE!</v>
      </c>
      <c r="BA16" s="40" t="e">
        <f t="shared" si="49"/>
        <v>#VALUE!</v>
      </c>
      <c r="BB16" s="41" t="e">
        <f t="shared" si="49"/>
        <v>#VALUE!</v>
      </c>
      <c r="BC16" s="40" t="e">
        <f t="shared" si="49"/>
        <v>#VALUE!</v>
      </c>
      <c r="BD16" s="40" t="e">
        <f t="shared" si="49"/>
        <v>#VALUE!</v>
      </c>
      <c r="BE16" s="40" t="e">
        <f t="shared" si="49"/>
        <v>#VALUE!</v>
      </c>
      <c r="BF16" s="40" t="e">
        <f t="shared" si="49"/>
        <v>#VALUE!</v>
      </c>
      <c r="BG16" s="40" t="e">
        <f t="shared" si="49"/>
        <v>#VALUE!</v>
      </c>
      <c r="BH16" s="40" t="e">
        <f t="shared" si="49"/>
        <v>#VALUE!</v>
      </c>
      <c r="BI16" s="40" t="e">
        <f t="shared" si="49"/>
        <v>#VALUE!</v>
      </c>
      <c r="BJ16" s="40" t="e">
        <f t="shared" si="49"/>
        <v>#VALUE!</v>
      </c>
      <c r="BK16" s="41" t="e">
        <f t="shared" si="49"/>
        <v>#VALUE!</v>
      </c>
      <c r="BL16" s="40" t="e">
        <f t="shared" si="49"/>
        <v>#VALUE!</v>
      </c>
      <c r="BM16" s="40" t="e">
        <f t="shared" si="49"/>
        <v>#VALUE!</v>
      </c>
      <c r="BN16" s="40" t="e">
        <f t="shared" si="49"/>
        <v>#VALUE!</v>
      </c>
      <c r="BO16" s="40" t="e">
        <f t="shared" si="49"/>
        <v>#VALUE!</v>
      </c>
      <c r="BP16" s="40" t="e">
        <f t="shared" si="49"/>
        <v>#VALUE!</v>
      </c>
      <c r="BQ16" s="40" t="e">
        <f t="shared" si="50"/>
        <v>#VALUE!</v>
      </c>
      <c r="BR16" s="40" t="e">
        <f t="shared" si="50"/>
        <v>#VALUE!</v>
      </c>
      <c r="BS16" s="40" t="e">
        <f t="shared" si="50"/>
        <v>#VALUE!</v>
      </c>
      <c r="BT16" s="40" t="e">
        <f t="shared" si="50"/>
        <v>#VALUE!</v>
      </c>
      <c r="BU16" s="40" t="e">
        <f t="shared" si="50"/>
        <v>#VALUE!</v>
      </c>
      <c r="BV16" s="40" t="e">
        <f t="shared" si="50"/>
        <v>#VALUE!</v>
      </c>
      <c r="BW16" s="40" t="e">
        <f t="shared" si="50"/>
        <v>#VALUE!</v>
      </c>
      <c r="BX16" s="40" t="e">
        <f t="shared" si="50"/>
        <v>#VALUE!</v>
      </c>
      <c r="BY16" s="40" t="e">
        <f t="shared" si="50"/>
        <v>#VALUE!</v>
      </c>
      <c r="BZ16" s="40" t="e">
        <f t="shared" si="50"/>
        <v>#VALUE!</v>
      </c>
      <c r="CA16" s="40" t="e">
        <f t="shared" si="50"/>
        <v>#VALUE!</v>
      </c>
      <c r="CB16" s="40" t="e">
        <f t="shared" si="50"/>
        <v>#VALUE!</v>
      </c>
      <c r="CC16" s="41" t="e">
        <f t="shared" si="50"/>
        <v>#VALUE!</v>
      </c>
      <c r="CD16" s="40" t="e">
        <f t="shared" si="50"/>
        <v>#VALUE!</v>
      </c>
      <c r="CE16" s="40" t="e">
        <f t="shared" si="50"/>
        <v>#VALUE!</v>
      </c>
      <c r="CF16" s="40" t="e">
        <f t="shared" si="50"/>
        <v>#VALUE!</v>
      </c>
      <c r="CG16" s="41" t="e">
        <f t="shared" si="51"/>
        <v>#VALUE!</v>
      </c>
      <c r="CH16" s="41" t="e">
        <f t="shared" si="51"/>
        <v>#VALUE!</v>
      </c>
      <c r="CI16" s="41" t="e">
        <f t="shared" si="51"/>
        <v>#VALUE!</v>
      </c>
      <c r="CJ16" s="41" t="e">
        <f t="shared" si="51"/>
        <v>#VALUE!</v>
      </c>
      <c r="CK16" s="41" t="e">
        <f t="shared" si="51"/>
        <v>#VALUE!</v>
      </c>
      <c r="CL16" s="41" t="e">
        <f t="shared" si="51"/>
        <v>#VALUE!</v>
      </c>
      <c r="CM16" s="41" t="e">
        <f t="shared" si="51"/>
        <v>#VALUE!</v>
      </c>
      <c r="CN16" s="41" t="e">
        <f t="shared" si="51"/>
        <v>#VALUE!</v>
      </c>
      <c r="CO16" s="41" t="e">
        <f t="shared" si="51"/>
        <v>#VALUE!</v>
      </c>
      <c r="CP16" s="41" t="e">
        <f t="shared" si="51"/>
        <v>#VALUE!</v>
      </c>
      <c r="CQ16" s="41" t="e">
        <f t="shared" si="51"/>
        <v>#VALUE!</v>
      </c>
      <c r="CR16" s="41" t="e">
        <f t="shared" si="51"/>
        <v>#VALUE!</v>
      </c>
      <c r="CS16" s="41" t="e">
        <f t="shared" si="51"/>
        <v>#VALUE!</v>
      </c>
      <c r="CT16" s="41" t="e">
        <f t="shared" si="51"/>
        <v>#VALUE!</v>
      </c>
      <c r="CU16" s="41" t="e">
        <f t="shared" si="51"/>
        <v>#VALUE!</v>
      </c>
      <c r="CV16" s="41" t="e">
        <f t="shared" si="51"/>
        <v>#VALUE!</v>
      </c>
    </row>
    <row r="17" spans="1:100" ht="60" customHeight="1" thickBot="1">
      <c r="A17" s="169"/>
      <c r="B17" s="43" t="s">
        <v>6</v>
      </c>
      <c r="C17" s="245"/>
      <c r="D17" s="246"/>
      <c r="E17" s="247"/>
      <c r="F17" s="245"/>
      <c r="G17" s="246"/>
      <c r="H17" s="247"/>
      <c r="I17" s="245"/>
      <c r="J17" s="246"/>
      <c r="K17" s="247"/>
      <c r="L17" s="245"/>
      <c r="M17" s="246"/>
      <c r="N17" s="247"/>
      <c r="O17" s="245"/>
      <c r="P17" s="246"/>
      <c r="Q17" s="247"/>
      <c r="R17" s="245"/>
      <c r="S17" s="246"/>
      <c r="T17" s="247"/>
      <c r="U17" s="245"/>
      <c r="V17" s="246"/>
      <c r="W17" s="247"/>
      <c r="X17" s="215">
        <f>SUM(C17:W17)</f>
        <v>0</v>
      </c>
      <c r="Y17" s="216"/>
      <c r="Z17" s="217"/>
      <c r="AB17" s="255">
        <f>AB5</f>
        <v>1900</v>
      </c>
      <c r="AC17" s="256"/>
      <c r="AD17" s="254"/>
      <c r="AE17" s="233">
        <f>B7</f>
        <v>2026</v>
      </c>
      <c r="AF17" s="234"/>
      <c r="AG17" s="242"/>
      <c r="AH17" s="233">
        <f>AE17+AG16</f>
        <v>2026</v>
      </c>
      <c r="AI17" s="234"/>
      <c r="AJ17" s="242"/>
      <c r="AK17" s="233">
        <f>AH17+AJ16</f>
        <v>2026</v>
      </c>
      <c r="AL17" s="234"/>
      <c r="AW17" s="235"/>
      <c r="AX17" s="236"/>
      <c r="AY17" s="40" t="s">
        <v>49</v>
      </c>
      <c r="AZ17" s="40" t="e">
        <f>AY17+1</f>
        <v>#VALUE!</v>
      </c>
      <c r="BA17" s="40" t="e">
        <f t="shared" si="49"/>
        <v>#VALUE!</v>
      </c>
      <c r="BB17" s="41" t="e">
        <f t="shared" si="49"/>
        <v>#VALUE!</v>
      </c>
      <c r="BC17" s="40" t="e">
        <f t="shared" si="49"/>
        <v>#VALUE!</v>
      </c>
      <c r="BD17" s="40" t="e">
        <f t="shared" si="49"/>
        <v>#VALUE!</v>
      </c>
      <c r="BE17" s="40" t="e">
        <f t="shared" si="49"/>
        <v>#VALUE!</v>
      </c>
      <c r="BF17" s="40" t="e">
        <f t="shared" si="49"/>
        <v>#VALUE!</v>
      </c>
      <c r="BG17" s="40" t="e">
        <f t="shared" si="49"/>
        <v>#VALUE!</v>
      </c>
      <c r="BH17" s="40" t="e">
        <f t="shared" si="49"/>
        <v>#VALUE!</v>
      </c>
      <c r="BI17" s="40" t="e">
        <f t="shared" si="49"/>
        <v>#VALUE!</v>
      </c>
      <c r="BJ17" s="40" t="e">
        <f t="shared" si="49"/>
        <v>#VALUE!</v>
      </c>
      <c r="BK17" s="41" t="e">
        <f t="shared" si="49"/>
        <v>#VALUE!</v>
      </c>
      <c r="BL17" s="40" t="e">
        <f t="shared" si="49"/>
        <v>#VALUE!</v>
      </c>
      <c r="BM17" s="40" t="e">
        <f t="shared" si="49"/>
        <v>#VALUE!</v>
      </c>
      <c r="BN17" s="40" t="e">
        <f t="shared" si="49"/>
        <v>#VALUE!</v>
      </c>
      <c r="BO17" s="40" t="e">
        <f t="shared" si="49"/>
        <v>#VALUE!</v>
      </c>
      <c r="BP17" s="40" t="e">
        <f t="shared" si="49"/>
        <v>#VALUE!</v>
      </c>
      <c r="BQ17" s="40" t="e">
        <f t="shared" si="50"/>
        <v>#VALUE!</v>
      </c>
      <c r="BR17" s="40" t="e">
        <f t="shared" si="50"/>
        <v>#VALUE!</v>
      </c>
      <c r="BS17" s="40" t="e">
        <f t="shared" si="50"/>
        <v>#VALUE!</v>
      </c>
      <c r="BT17" s="40" t="e">
        <f t="shared" si="50"/>
        <v>#VALUE!</v>
      </c>
      <c r="BU17" s="40" t="e">
        <f t="shared" si="50"/>
        <v>#VALUE!</v>
      </c>
      <c r="BV17" s="40" t="e">
        <f t="shared" si="50"/>
        <v>#VALUE!</v>
      </c>
      <c r="BW17" s="40" t="e">
        <f t="shared" si="50"/>
        <v>#VALUE!</v>
      </c>
      <c r="BX17" s="40" t="e">
        <f t="shared" si="50"/>
        <v>#VALUE!</v>
      </c>
      <c r="BY17" s="40" t="e">
        <f t="shared" si="50"/>
        <v>#VALUE!</v>
      </c>
      <c r="BZ17" s="40" t="e">
        <f t="shared" si="50"/>
        <v>#VALUE!</v>
      </c>
      <c r="CA17" s="40" t="e">
        <f t="shared" si="50"/>
        <v>#VALUE!</v>
      </c>
      <c r="CB17" s="40" t="e">
        <f t="shared" si="50"/>
        <v>#VALUE!</v>
      </c>
      <c r="CC17" s="41" t="e">
        <f t="shared" si="50"/>
        <v>#VALUE!</v>
      </c>
      <c r="CD17" s="40" t="e">
        <f t="shared" si="50"/>
        <v>#VALUE!</v>
      </c>
      <c r="CE17" s="40" t="e">
        <f t="shared" si="50"/>
        <v>#VALUE!</v>
      </c>
      <c r="CF17" s="40" t="e">
        <f t="shared" si="50"/>
        <v>#VALUE!</v>
      </c>
      <c r="CG17" s="41" t="e">
        <f t="shared" si="51"/>
        <v>#VALUE!</v>
      </c>
      <c r="CH17" s="41" t="e">
        <f t="shared" si="51"/>
        <v>#VALUE!</v>
      </c>
      <c r="CI17" s="41" t="e">
        <f t="shared" si="51"/>
        <v>#VALUE!</v>
      </c>
      <c r="CJ17" s="41" t="e">
        <f t="shared" si="51"/>
        <v>#VALUE!</v>
      </c>
      <c r="CK17" s="41" t="e">
        <f t="shared" si="51"/>
        <v>#VALUE!</v>
      </c>
      <c r="CL17" s="41" t="e">
        <f t="shared" si="51"/>
        <v>#VALUE!</v>
      </c>
      <c r="CM17" s="41" t="e">
        <f t="shared" si="51"/>
        <v>#VALUE!</v>
      </c>
      <c r="CN17" s="41" t="e">
        <f t="shared" si="51"/>
        <v>#VALUE!</v>
      </c>
      <c r="CO17" s="41" t="e">
        <f t="shared" si="51"/>
        <v>#VALUE!</v>
      </c>
      <c r="CP17" s="41" t="e">
        <f t="shared" si="51"/>
        <v>#VALUE!</v>
      </c>
      <c r="CQ17" s="41" t="e">
        <f t="shared" si="51"/>
        <v>#VALUE!</v>
      </c>
      <c r="CR17" s="41" t="e">
        <f t="shared" si="51"/>
        <v>#VALUE!</v>
      </c>
      <c r="CS17" s="41" t="e">
        <f t="shared" si="51"/>
        <v>#VALUE!</v>
      </c>
      <c r="CT17" s="41" t="e">
        <f t="shared" si="51"/>
        <v>#VALUE!</v>
      </c>
      <c r="CU17" s="41" t="e">
        <f t="shared" si="51"/>
        <v>#VALUE!</v>
      </c>
      <c r="CV17" s="41" t="e">
        <f t="shared" si="51"/>
        <v>#VALUE!</v>
      </c>
    </row>
    <row r="18" spans="1:100" ht="32.25" customHeight="1" thickBot="1">
      <c r="A18" s="169"/>
      <c r="B18" s="237" t="s">
        <v>7</v>
      </c>
      <c r="C18" s="225"/>
      <c r="D18" s="226"/>
      <c r="E18" s="227"/>
      <c r="F18" s="225"/>
      <c r="G18" s="226"/>
      <c r="H18" s="227"/>
      <c r="I18" s="225"/>
      <c r="J18" s="226"/>
      <c r="K18" s="227"/>
      <c r="L18" s="225"/>
      <c r="M18" s="226"/>
      <c r="N18" s="227"/>
      <c r="O18" s="225"/>
      <c r="P18" s="226"/>
      <c r="Q18" s="227"/>
      <c r="R18" s="225"/>
      <c r="S18" s="226"/>
      <c r="T18" s="227"/>
      <c r="U18" s="225"/>
      <c r="V18" s="226"/>
      <c r="W18" s="227"/>
      <c r="AE18" s="228">
        <v>0</v>
      </c>
      <c r="AF18" s="228"/>
      <c r="AG18" s="44"/>
      <c r="AH18" s="44"/>
      <c r="AI18" s="44"/>
      <c r="AJ18" s="44"/>
      <c r="AK18" s="44"/>
      <c r="AL18" s="44"/>
      <c r="AW18" s="229"/>
      <c r="AX18" s="230"/>
      <c r="AY18" s="221" t="s">
        <v>50</v>
      </c>
      <c r="AZ18" s="221" t="e">
        <f>AY18+1</f>
        <v>#VALUE!</v>
      </c>
      <c r="BA18" s="221" t="e">
        <f t="shared" si="49"/>
        <v>#VALUE!</v>
      </c>
      <c r="BB18" s="221" t="e">
        <f t="shared" si="49"/>
        <v>#VALUE!</v>
      </c>
      <c r="BC18" s="221" t="e">
        <f t="shared" si="49"/>
        <v>#VALUE!</v>
      </c>
      <c r="BD18" s="221" t="e">
        <f t="shared" si="49"/>
        <v>#VALUE!</v>
      </c>
      <c r="BE18" s="221" t="e">
        <f t="shared" si="49"/>
        <v>#VALUE!</v>
      </c>
      <c r="BF18" s="221" t="e">
        <f t="shared" si="49"/>
        <v>#VALUE!</v>
      </c>
      <c r="BG18" s="221" t="e">
        <f t="shared" si="49"/>
        <v>#VALUE!</v>
      </c>
      <c r="BH18" s="221" t="e">
        <f t="shared" si="49"/>
        <v>#VALUE!</v>
      </c>
      <c r="BI18" s="221" t="e">
        <f t="shared" si="49"/>
        <v>#VALUE!</v>
      </c>
      <c r="BJ18" s="221" t="e">
        <f t="shared" si="49"/>
        <v>#VALUE!</v>
      </c>
      <c r="BK18" s="223" t="e">
        <f t="shared" si="49"/>
        <v>#VALUE!</v>
      </c>
      <c r="BL18" s="221" t="e">
        <f t="shared" si="49"/>
        <v>#VALUE!</v>
      </c>
      <c r="BM18" s="221" t="e">
        <f t="shared" si="49"/>
        <v>#VALUE!</v>
      </c>
      <c r="BN18" s="221" t="e">
        <f t="shared" si="49"/>
        <v>#VALUE!</v>
      </c>
      <c r="BO18" s="221" t="e">
        <f t="shared" si="49"/>
        <v>#VALUE!</v>
      </c>
      <c r="BP18" s="221" t="e">
        <f t="shared" si="49"/>
        <v>#VALUE!</v>
      </c>
      <c r="BQ18" s="221" t="e">
        <f t="shared" si="50"/>
        <v>#VALUE!</v>
      </c>
      <c r="BR18" s="221" t="e">
        <f t="shared" si="50"/>
        <v>#VALUE!</v>
      </c>
      <c r="BS18" s="221" t="e">
        <f t="shared" si="50"/>
        <v>#VALUE!</v>
      </c>
      <c r="BT18" s="221" t="e">
        <f t="shared" si="50"/>
        <v>#VALUE!</v>
      </c>
      <c r="BU18" s="221" t="e">
        <f t="shared" si="50"/>
        <v>#VALUE!</v>
      </c>
      <c r="BV18" s="221" t="e">
        <f t="shared" si="50"/>
        <v>#VALUE!</v>
      </c>
      <c r="BW18" s="221" t="e">
        <f t="shared" si="50"/>
        <v>#VALUE!</v>
      </c>
      <c r="BX18" s="221" t="e">
        <f t="shared" si="50"/>
        <v>#VALUE!</v>
      </c>
      <c r="BY18" s="221" t="e">
        <f t="shared" si="50"/>
        <v>#VALUE!</v>
      </c>
      <c r="BZ18" s="221" t="e">
        <f t="shared" si="50"/>
        <v>#VALUE!</v>
      </c>
      <c r="CA18" s="221" t="e">
        <f t="shared" si="50"/>
        <v>#VALUE!</v>
      </c>
      <c r="CB18" s="221" t="e">
        <f t="shared" si="50"/>
        <v>#VALUE!</v>
      </c>
      <c r="CC18" s="221" t="e">
        <f t="shared" si="50"/>
        <v>#VALUE!</v>
      </c>
      <c r="CD18" s="221" t="e">
        <f t="shared" si="50"/>
        <v>#VALUE!</v>
      </c>
      <c r="CE18" s="221" t="e">
        <f t="shared" si="50"/>
        <v>#VALUE!</v>
      </c>
      <c r="CF18" s="221" t="e">
        <f t="shared" si="50"/>
        <v>#VALUE!</v>
      </c>
      <c r="CG18" s="221" t="e">
        <f t="shared" si="51"/>
        <v>#VALUE!</v>
      </c>
      <c r="CH18" s="221" t="e">
        <f t="shared" si="51"/>
        <v>#VALUE!</v>
      </c>
      <c r="CI18" s="221" t="e">
        <f t="shared" si="51"/>
        <v>#VALUE!</v>
      </c>
      <c r="CJ18" s="221" t="e">
        <f t="shared" si="51"/>
        <v>#VALUE!</v>
      </c>
      <c r="CK18" s="221" t="e">
        <f t="shared" si="51"/>
        <v>#VALUE!</v>
      </c>
      <c r="CL18" s="221" t="e">
        <f t="shared" si="51"/>
        <v>#VALUE!</v>
      </c>
      <c r="CM18" s="221" t="e">
        <f t="shared" si="51"/>
        <v>#VALUE!</v>
      </c>
      <c r="CN18" s="221" t="e">
        <f t="shared" si="51"/>
        <v>#VALUE!</v>
      </c>
      <c r="CO18" s="221" t="e">
        <f t="shared" si="51"/>
        <v>#VALUE!</v>
      </c>
      <c r="CP18" s="221" t="e">
        <f t="shared" si="51"/>
        <v>#VALUE!</v>
      </c>
      <c r="CQ18" s="221" t="e">
        <f t="shared" si="51"/>
        <v>#VALUE!</v>
      </c>
      <c r="CR18" s="221" t="e">
        <f t="shared" si="51"/>
        <v>#VALUE!</v>
      </c>
      <c r="CS18" s="221" t="e">
        <f t="shared" si="51"/>
        <v>#VALUE!</v>
      </c>
      <c r="CT18" s="221" t="e">
        <f t="shared" si="51"/>
        <v>#VALUE!</v>
      </c>
      <c r="CU18" s="221" t="e">
        <f t="shared" si="51"/>
        <v>#VALUE!</v>
      </c>
      <c r="CV18" s="221" t="e">
        <f t="shared" si="51"/>
        <v>#VALUE!</v>
      </c>
    </row>
    <row r="19" spans="1:100" ht="60" customHeight="1" thickBot="1">
      <c r="A19" s="169"/>
      <c r="B19" s="238"/>
      <c r="C19" s="212"/>
      <c r="D19" s="213"/>
      <c r="E19" s="214"/>
      <c r="F19" s="212"/>
      <c r="G19" s="213"/>
      <c r="H19" s="214"/>
      <c r="I19" s="212"/>
      <c r="J19" s="213"/>
      <c r="K19" s="214"/>
      <c r="L19" s="212"/>
      <c r="M19" s="213"/>
      <c r="N19" s="214"/>
      <c r="O19" s="212"/>
      <c r="P19" s="213"/>
      <c r="Q19" s="214"/>
      <c r="R19" s="212"/>
      <c r="S19" s="213"/>
      <c r="T19" s="214"/>
      <c r="U19" s="212"/>
      <c r="V19" s="213"/>
      <c r="W19" s="214"/>
      <c r="X19" s="215">
        <f>SUM(C19:W19)</f>
        <v>0</v>
      </c>
      <c r="Y19" s="216"/>
      <c r="Z19" s="217"/>
      <c r="AE19" s="44"/>
      <c r="AF19" s="44"/>
      <c r="AG19" s="44"/>
      <c r="AH19" s="44"/>
      <c r="AI19" s="44"/>
      <c r="AJ19" s="44"/>
      <c r="AK19" s="44"/>
      <c r="AL19" s="44"/>
      <c r="AW19" s="231"/>
      <c r="AX19" s="23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4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  <c r="CV19" s="222"/>
    </row>
    <row r="20" spans="1:100" ht="60" customHeight="1">
      <c r="A20" s="169"/>
      <c r="B20" s="45" t="s">
        <v>8</v>
      </c>
      <c r="C20" s="218"/>
      <c r="D20" s="219"/>
      <c r="E20" s="220"/>
      <c r="F20" s="218"/>
      <c r="G20" s="219"/>
      <c r="H20" s="220"/>
      <c r="I20" s="218"/>
      <c r="J20" s="219"/>
      <c r="K20" s="220"/>
      <c r="L20" s="218"/>
      <c r="M20" s="219"/>
      <c r="N20" s="220"/>
      <c r="O20" s="218"/>
      <c r="P20" s="219"/>
      <c r="Q20" s="220"/>
      <c r="R20" s="218"/>
      <c r="S20" s="219"/>
      <c r="T20" s="220"/>
      <c r="U20" s="218"/>
      <c r="V20" s="219"/>
      <c r="W20" s="220"/>
      <c r="AW20" s="208" t="s">
        <v>51</v>
      </c>
      <c r="AX20" s="208"/>
      <c r="AY20" s="46"/>
      <c r="AZ20" s="46"/>
      <c r="BA20" s="46"/>
      <c r="BB20" s="47"/>
      <c r="BC20" s="46"/>
      <c r="BD20" s="46"/>
      <c r="BE20" s="46"/>
      <c r="BF20" s="46"/>
      <c r="BG20" s="46"/>
      <c r="BH20" s="46"/>
      <c r="BI20" s="46"/>
      <c r="BJ20" s="46"/>
      <c r="BK20" s="47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8"/>
      <c r="CD20" s="46"/>
      <c r="CE20" s="46"/>
      <c r="CF20" s="46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</row>
    <row r="21" spans="1:100" ht="60" customHeight="1">
      <c r="A21" s="169"/>
      <c r="B21" s="45" t="s">
        <v>9</v>
      </c>
      <c r="C21" s="209"/>
      <c r="D21" s="210"/>
      <c r="E21" s="211"/>
      <c r="F21" s="209"/>
      <c r="G21" s="210"/>
      <c r="H21" s="211"/>
      <c r="I21" s="209"/>
      <c r="J21" s="210"/>
      <c r="K21" s="211"/>
      <c r="L21" s="209"/>
      <c r="M21" s="210"/>
      <c r="N21" s="211"/>
      <c r="O21" s="209"/>
      <c r="P21" s="210"/>
      <c r="Q21" s="211"/>
      <c r="R21" s="209"/>
      <c r="S21" s="210"/>
      <c r="T21" s="211"/>
      <c r="U21" s="209"/>
      <c r="V21" s="210"/>
      <c r="W21" s="211"/>
      <c r="AW21" s="190"/>
      <c r="AX21" s="190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50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</row>
    <row r="22" spans="1:100" ht="60" customHeight="1">
      <c r="A22" s="169"/>
      <c r="B22" s="43" t="s">
        <v>10</v>
      </c>
      <c r="C22" s="201"/>
      <c r="D22" s="202"/>
      <c r="E22" s="203"/>
      <c r="F22" s="201"/>
      <c r="G22" s="202"/>
      <c r="H22" s="203"/>
      <c r="I22" s="201"/>
      <c r="J22" s="202"/>
      <c r="K22" s="203"/>
      <c r="L22" s="201"/>
      <c r="M22" s="202"/>
      <c r="N22" s="203"/>
      <c r="O22" s="201"/>
      <c r="P22" s="202"/>
      <c r="Q22" s="203"/>
      <c r="R22" s="201"/>
      <c r="S22" s="202"/>
      <c r="T22" s="203"/>
      <c r="U22" s="201"/>
      <c r="V22" s="202"/>
      <c r="W22" s="203"/>
      <c r="AW22" s="204" t="s">
        <v>52</v>
      </c>
      <c r="AX22" s="204"/>
      <c r="AY22" s="51">
        <f>$X36*AY14</f>
        <v>-420000</v>
      </c>
      <c r="AZ22" s="51">
        <f>$X36*AZ14</f>
        <v>-840000</v>
      </c>
      <c r="BA22" s="51">
        <f>$X36*BA14</f>
        <v>-1260000</v>
      </c>
      <c r="BB22" s="51">
        <f t="shared" ref="BB22:CV22" si="52">$X36*BB14</f>
        <v>-1680000</v>
      </c>
      <c r="BC22" s="51">
        <f t="shared" si="52"/>
        <v>-2100000</v>
      </c>
      <c r="BD22" s="51">
        <f t="shared" si="52"/>
        <v>-2520000</v>
      </c>
      <c r="BE22" s="51">
        <f t="shared" si="52"/>
        <v>-2940000</v>
      </c>
      <c r="BF22" s="51">
        <f t="shared" si="52"/>
        <v>-3360000</v>
      </c>
      <c r="BG22" s="51">
        <f t="shared" si="52"/>
        <v>-3780000</v>
      </c>
      <c r="BH22" s="51">
        <f t="shared" si="52"/>
        <v>-4200000</v>
      </c>
      <c r="BI22" s="51">
        <f t="shared" si="52"/>
        <v>-4620000</v>
      </c>
      <c r="BJ22" s="51">
        <f t="shared" si="52"/>
        <v>-5040000</v>
      </c>
      <c r="BK22" s="52">
        <f t="shared" si="52"/>
        <v>-5460000</v>
      </c>
      <c r="BL22" s="51">
        <f t="shared" si="52"/>
        <v>-5880000</v>
      </c>
      <c r="BM22" s="51">
        <f t="shared" si="52"/>
        <v>-6300000</v>
      </c>
      <c r="BN22" s="51">
        <f t="shared" si="52"/>
        <v>-6720000</v>
      </c>
      <c r="BO22" s="51">
        <f t="shared" si="52"/>
        <v>-7140000</v>
      </c>
      <c r="BP22" s="51">
        <f t="shared" si="52"/>
        <v>-7560000</v>
      </c>
      <c r="BQ22" s="51">
        <f t="shared" si="52"/>
        <v>-7980000</v>
      </c>
      <c r="BR22" s="51">
        <f t="shared" si="52"/>
        <v>-8400000</v>
      </c>
      <c r="BS22" s="51">
        <f t="shared" si="52"/>
        <v>-8820000</v>
      </c>
      <c r="BT22" s="51">
        <f t="shared" si="52"/>
        <v>-9240000</v>
      </c>
      <c r="BU22" s="51">
        <f t="shared" si="52"/>
        <v>-9660000</v>
      </c>
      <c r="BV22" s="51">
        <f t="shared" si="52"/>
        <v>-10080000</v>
      </c>
      <c r="BW22" s="51">
        <f t="shared" si="52"/>
        <v>-10500000</v>
      </c>
      <c r="BX22" s="51">
        <f t="shared" si="52"/>
        <v>-10920000</v>
      </c>
      <c r="BY22" s="51">
        <f t="shared" si="52"/>
        <v>-11340000</v>
      </c>
      <c r="BZ22" s="51">
        <f t="shared" si="52"/>
        <v>-11760000</v>
      </c>
      <c r="CA22" s="51">
        <f t="shared" si="52"/>
        <v>-12180000</v>
      </c>
      <c r="CB22" s="51">
        <f t="shared" si="52"/>
        <v>-12600000</v>
      </c>
      <c r="CC22" s="51">
        <f t="shared" si="52"/>
        <v>-13020000</v>
      </c>
      <c r="CD22" s="51">
        <f t="shared" si="52"/>
        <v>-13440000</v>
      </c>
      <c r="CE22" s="51">
        <f t="shared" si="52"/>
        <v>-13860000</v>
      </c>
      <c r="CF22" s="51">
        <f t="shared" si="52"/>
        <v>-14280000</v>
      </c>
      <c r="CG22" s="51">
        <f t="shared" si="52"/>
        <v>-14700000</v>
      </c>
      <c r="CH22" s="51">
        <f t="shared" si="52"/>
        <v>-15120000</v>
      </c>
      <c r="CI22" s="51">
        <f t="shared" si="52"/>
        <v>-15540000</v>
      </c>
      <c r="CJ22" s="51">
        <f t="shared" si="52"/>
        <v>-15960000</v>
      </c>
      <c r="CK22" s="51">
        <f t="shared" si="52"/>
        <v>-16380000</v>
      </c>
      <c r="CL22" s="51">
        <f t="shared" si="52"/>
        <v>-16800000</v>
      </c>
      <c r="CM22" s="51">
        <f t="shared" si="52"/>
        <v>-17220000</v>
      </c>
      <c r="CN22" s="51">
        <f t="shared" si="52"/>
        <v>-17640000</v>
      </c>
      <c r="CO22" s="51">
        <f t="shared" si="52"/>
        <v>-18060000</v>
      </c>
      <c r="CP22" s="51">
        <f t="shared" si="52"/>
        <v>-18480000</v>
      </c>
      <c r="CQ22" s="51">
        <f t="shared" si="52"/>
        <v>-18900000</v>
      </c>
      <c r="CR22" s="51">
        <f t="shared" si="52"/>
        <v>-19320000</v>
      </c>
      <c r="CS22" s="51">
        <f t="shared" si="52"/>
        <v>-19740000</v>
      </c>
      <c r="CT22" s="51">
        <f t="shared" si="52"/>
        <v>-20160000</v>
      </c>
      <c r="CU22" s="51">
        <f t="shared" si="52"/>
        <v>-20580000</v>
      </c>
      <c r="CV22" s="51">
        <f t="shared" si="52"/>
        <v>-21000000</v>
      </c>
    </row>
    <row r="23" spans="1:100" ht="20.25" customHeight="1">
      <c r="A23" s="169"/>
      <c r="B23" s="205" t="s">
        <v>11</v>
      </c>
      <c r="C23" s="199"/>
      <c r="D23" s="200"/>
      <c r="E23" s="191" t="str">
        <f>IFERROR(IF(C25=0,"",DATEDIF($C$7,C25,"ｍ")),"")</f>
        <v/>
      </c>
      <c r="F23" s="199"/>
      <c r="G23" s="200"/>
      <c r="H23" s="191" t="str">
        <f>IFERROR(IF(F25=0,"",DATEDIF($C$7,F25,"ｍ")),"")</f>
        <v/>
      </c>
      <c r="I23" s="199"/>
      <c r="J23" s="200"/>
      <c r="K23" s="191" t="str">
        <f>IFERROR(IF(I25=0,"",DATEDIF($C$7,I25,"ｍ")),"")</f>
        <v/>
      </c>
      <c r="L23" s="199"/>
      <c r="M23" s="200"/>
      <c r="N23" s="191" t="str">
        <f>IFERROR(IF(L25=0,"",DATEDIF($C$7,L25,"ｍ")),"")</f>
        <v/>
      </c>
      <c r="O23" s="199"/>
      <c r="P23" s="200"/>
      <c r="Q23" s="191" t="str">
        <f>IFERROR(IF(O25=0,"",DATEDIF($C$7,O25,"ｍ")),"")</f>
        <v/>
      </c>
      <c r="R23" s="199"/>
      <c r="S23" s="200"/>
      <c r="T23" s="191" t="str">
        <f>IFERROR(IF(R25=0,"",DATEDIF($C$7,R25,"ｍ")),"")</f>
        <v/>
      </c>
      <c r="U23" s="199"/>
      <c r="V23" s="200"/>
      <c r="W23" s="191" t="str">
        <f>IFERROR(IF(U25=0,"",DATEDIF($C$7,U25,"ｍ")),"")</f>
        <v/>
      </c>
      <c r="X23" s="193"/>
      <c r="Y23" s="194"/>
      <c r="Z23" s="194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</row>
    <row r="24" spans="1:100" ht="18.75" customHeight="1">
      <c r="A24" s="169"/>
      <c r="B24" s="206"/>
      <c r="C24" s="197" t="s">
        <v>12</v>
      </c>
      <c r="D24" s="198"/>
      <c r="E24" s="192"/>
      <c r="F24" s="197" t="s">
        <v>12</v>
      </c>
      <c r="G24" s="198"/>
      <c r="H24" s="192"/>
      <c r="I24" s="197" t="s">
        <v>12</v>
      </c>
      <c r="J24" s="198"/>
      <c r="K24" s="192"/>
      <c r="L24" s="197" t="s">
        <v>12</v>
      </c>
      <c r="M24" s="198"/>
      <c r="N24" s="192"/>
      <c r="O24" s="197" t="s">
        <v>12</v>
      </c>
      <c r="P24" s="198"/>
      <c r="Q24" s="192"/>
      <c r="R24" s="197" t="s">
        <v>12</v>
      </c>
      <c r="S24" s="198"/>
      <c r="T24" s="192"/>
      <c r="U24" s="197" t="s">
        <v>12</v>
      </c>
      <c r="V24" s="198"/>
      <c r="W24" s="192"/>
      <c r="X24" s="193"/>
      <c r="Y24" s="194"/>
      <c r="Z24" s="194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189"/>
      <c r="AX24" s="189"/>
      <c r="AY24" s="189"/>
      <c r="AZ24" s="189"/>
      <c r="BA24" s="189"/>
      <c r="BB24" s="189"/>
      <c r="BC24" s="189"/>
      <c r="BD24" s="189"/>
      <c r="BE24" s="189"/>
      <c r="BF24" s="189"/>
      <c r="BG24" s="189"/>
      <c r="BH24" s="189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</row>
    <row r="25" spans="1:100" ht="20.25" customHeight="1" thickBot="1">
      <c r="A25" s="95"/>
      <c r="B25" s="207"/>
      <c r="C25" s="187"/>
      <c r="D25" s="188"/>
      <c r="E25" s="57" t="str">
        <f>IF(C23=0,"",DATEDIF(C23,C25,"y"))</f>
        <v/>
      </c>
      <c r="F25" s="187"/>
      <c r="G25" s="188"/>
      <c r="H25" s="57" t="str">
        <f>IF(F23=0,"",DATEDIF(F23,F25,"y"))</f>
        <v/>
      </c>
      <c r="I25" s="187"/>
      <c r="J25" s="188"/>
      <c r="K25" s="57" t="str">
        <f>IF(I23=0,"",DATEDIF(I23,I25,"y"))</f>
        <v/>
      </c>
      <c r="L25" s="187"/>
      <c r="M25" s="188"/>
      <c r="N25" s="57" t="str">
        <f>IF(L23=0,"",DATEDIF(L23,L25,"y"))</f>
        <v/>
      </c>
      <c r="O25" s="187"/>
      <c r="P25" s="188"/>
      <c r="Q25" s="57" t="str">
        <f>IF(O23=0,"",DATEDIF(O23,O25,"y"))</f>
        <v/>
      </c>
      <c r="R25" s="187"/>
      <c r="S25" s="188"/>
      <c r="T25" s="57" t="str">
        <f>IF(R23=0,"",DATEDIF(R23,R25,"y"))</f>
        <v/>
      </c>
      <c r="U25" s="187"/>
      <c r="V25" s="188"/>
      <c r="W25" s="57" t="str">
        <f>IF(U23=0,"",DATEDIF(U23,U25,"y"))</f>
        <v/>
      </c>
      <c r="X25" s="195"/>
      <c r="Y25" s="196"/>
      <c r="Z25" s="196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</row>
    <row r="26" spans="1:100" ht="60" customHeight="1" thickTop="1" thickBot="1">
      <c r="A26" s="59" t="s">
        <v>13</v>
      </c>
      <c r="B26" s="60" t="s">
        <v>14</v>
      </c>
      <c r="C26" s="61" t="s">
        <v>68</v>
      </c>
      <c r="D26" s="170"/>
      <c r="E26" s="171"/>
      <c r="F26" s="61" t="s">
        <v>68</v>
      </c>
      <c r="G26" s="170"/>
      <c r="H26" s="171"/>
      <c r="I26" s="61" t="s">
        <v>68</v>
      </c>
      <c r="J26" s="170"/>
      <c r="K26" s="171"/>
      <c r="L26" s="61" t="s">
        <v>68</v>
      </c>
      <c r="M26" s="170"/>
      <c r="N26" s="171"/>
      <c r="O26" s="61" t="s">
        <v>68</v>
      </c>
      <c r="P26" s="170"/>
      <c r="Q26" s="171"/>
      <c r="R26" s="61" t="s">
        <v>68</v>
      </c>
      <c r="S26" s="170"/>
      <c r="T26" s="171"/>
      <c r="U26" s="61" t="s">
        <v>68</v>
      </c>
      <c r="V26" s="170"/>
      <c r="W26" s="171"/>
      <c r="X26" s="172">
        <f>SUM(D26,G26,J26,M26,P26,S26,V26)</f>
        <v>0</v>
      </c>
      <c r="Y26" s="173"/>
      <c r="Z26" s="174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</row>
    <row r="27" spans="1:100" ht="18.75" customHeight="1" thickTop="1">
      <c r="A27" s="62"/>
      <c r="B27" s="175" t="s">
        <v>15</v>
      </c>
      <c r="C27" s="178"/>
      <c r="D27" s="179"/>
      <c r="E27" s="180"/>
      <c r="F27" s="178"/>
      <c r="G27" s="179"/>
      <c r="H27" s="180"/>
      <c r="I27" s="178"/>
      <c r="J27" s="179"/>
      <c r="K27" s="180"/>
      <c r="L27" s="178"/>
      <c r="M27" s="179"/>
      <c r="N27" s="180"/>
      <c r="O27" s="178"/>
      <c r="P27" s="179"/>
      <c r="Q27" s="180"/>
      <c r="R27" s="178"/>
      <c r="S27" s="179"/>
      <c r="T27" s="180"/>
      <c r="U27" s="178"/>
      <c r="V27" s="179"/>
      <c r="W27" s="180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</row>
    <row r="28" spans="1:100" ht="18.75" customHeight="1">
      <c r="A28" s="62"/>
      <c r="B28" s="176"/>
      <c r="C28" s="181"/>
      <c r="D28" s="182"/>
      <c r="E28" s="183"/>
      <c r="F28" s="181"/>
      <c r="G28" s="182"/>
      <c r="H28" s="183"/>
      <c r="I28" s="181"/>
      <c r="J28" s="182"/>
      <c r="K28" s="183"/>
      <c r="L28" s="181"/>
      <c r="M28" s="182"/>
      <c r="N28" s="183"/>
      <c r="O28" s="181"/>
      <c r="P28" s="182"/>
      <c r="Q28" s="183"/>
      <c r="R28" s="181"/>
      <c r="S28" s="182"/>
      <c r="T28" s="183"/>
      <c r="U28" s="181"/>
      <c r="V28" s="182"/>
      <c r="W28" s="183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</row>
    <row r="29" spans="1:100" ht="18.75" customHeight="1" thickBot="1">
      <c r="A29" s="62"/>
      <c r="B29" s="177"/>
      <c r="C29" s="184"/>
      <c r="D29" s="185"/>
      <c r="E29" s="186"/>
      <c r="F29" s="184"/>
      <c r="G29" s="185"/>
      <c r="H29" s="186"/>
      <c r="I29" s="184"/>
      <c r="J29" s="185"/>
      <c r="K29" s="186"/>
      <c r="L29" s="184"/>
      <c r="M29" s="185"/>
      <c r="N29" s="186"/>
      <c r="O29" s="184"/>
      <c r="P29" s="185"/>
      <c r="Q29" s="186"/>
      <c r="R29" s="184"/>
      <c r="S29" s="185"/>
      <c r="T29" s="186"/>
      <c r="U29" s="184"/>
      <c r="V29" s="185"/>
      <c r="W29" s="186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</row>
    <row r="30" spans="1:100" ht="60" customHeight="1">
      <c r="A30" s="169" t="s">
        <v>16</v>
      </c>
      <c r="B30" s="63" t="s">
        <v>17</v>
      </c>
      <c r="C30" s="160"/>
      <c r="D30" s="161"/>
      <c r="E30" s="162"/>
      <c r="F30" s="160"/>
      <c r="G30" s="161"/>
      <c r="H30" s="162"/>
      <c r="I30" s="160"/>
      <c r="J30" s="161"/>
      <c r="K30" s="162"/>
      <c r="L30" s="160"/>
      <c r="M30" s="161"/>
      <c r="N30" s="162"/>
      <c r="O30" s="160"/>
      <c r="P30" s="161"/>
      <c r="Q30" s="162"/>
      <c r="R30" s="160"/>
      <c r="S30" s="161"/>
      <c r="T30" s="162"/>
      <c r="U30" s="160"/>
      <c r="V30" s="161"/>
      <c r="W30" s="162"/>
      <c r="X30" s="163">
        <f>C30+F30+I30+L30+C31+F31+I31+L31+O30+O31+U30+U31+R30+R31</f>
        <v>0</v>
      </c>
      <c r="Y30" s="164"/>
      <c r="Z30" s="16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</row>
    <row r="31" spans="1:100" ht="60" customHeight="1" thickBot="1">
      <c r="A31" s="169"/>
      <c r="B31" s="64" t="s">
        <v>18</v>
      </c>
      <c r="C31" s="160"/>
      <c r="D31" s="161"/>
      <c r="E31" s="162"/>
      <c r="F31" s="160"/>
      <c r="G31" s="161"/>
      <c r="H31" s="162"/>
      <c r="I31" s="160"/>
      <c r="J31" s="161"/>
      <c r="K31" s="162"/>
      <c r="L31" s="160"/>
      <c r="M31" s="161"/>
      <c r="N31" s="162"/>
      <c r="O31" s="160"/>
      <c r="P31" s="161"/>
      <c r="Q31" s="162"/>
      <c r="R31" s="160"/>
      <c r="S31" s="161"/>
      <c r="T31" s="162"/>
      <c r="U31" s="160"/>
      <c r="V31" s="161"/>
      <c r="W31" s="162"/>
      <c r="X31" s="166"/>
      <c r="Y31" s="167"/>
      <c r="Z31" s="168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</row>
    <row r="32" spans="1:100" ht="60" customHeight="1" thickBot="1">
      <c r="A32" s="169"/>
      <c r="B32" s="65" t="s">
        <v>19</v>
      </c>
      <c r="C32" s="157"/>
      <c r="D32" s="158"/>
      <c r="E32" s="159"/>
      <c r="F32" s="157" t="str">
        <f>IF(F9="","",1100)</f>
        <v/>
      </c>
      <c r="G32" s="158"/>
      <c r="H32" s="159"/>
      <c r="I32" s="157" t="str">
        <f>IF(I9="","",1100)</f>
        <v/>
      </c>
      <c r="J32" s="158"/>
      <c r="K32" s="159"/>
      <c r="L32" s="157" t="str">
        <f>IF(L9="","",1100)</f>
        <v/>
      </c>
      <c r="M32" s="158"/>
      <c r="N32" s="159"/>
      <c r="O32" s="157" t="str">
        <f>IF(O9="","",1100)</f>
        <v/>
      </c>
      <c r="P32" s="158"/>
      <c r="Q32" s="159"/>
      <c r="R32" s="157" t="str">
        <f>IF(R9="","",1100)</f>
        <v/>
      </c>
      <c r="S32" s="158"/>
      <c r="T32" s="159"/>
      <c r="U32" s="157" t="str">
        <f>IF(U9="","",1100)</f>
        <v/>
      </c>
      <c r="V32" s="158"/>
      <c r="W32" s="159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</row>
    <row r="33" spans="1:100" ht="60" customHeight="1">
      <c r="A33" s="169"/>
      <c r="B33" s="65" t="s">
        <v>20</v>
      </c>
      <c r="C33" s="157"/>
      <c r="D33" s="158"/>
      <c r="E33" s="159"/>
      <c r="F33" s="157"/>
      <c r="G33" s="158"/>
      <c r="H33" s="159"/>
      <c r="I33" s="157"/>
      <c r="J33" s="158"/>
      <c r="K33" s="159"/>
      <c r="L33" s="157"/>
      <c r="M33" s="158"/>
      <c r="N33" s="159"/>
      <c r="O33" s="157"/>
      <c r="P33" s="158"/>
      <c r="Q33" s="159"/>
      <c r="R33" s="157"/>
      <c r="S33" s="158"/>
      <c r="T33" s="159"/>
      <c r="U33" s="157"/>
      <c r="V33" s="158"/>
      <c r="W33" s="159"/>
      <c r="X33" s="149" t="s">
        <v>53</v>
      </c>
      <c r="Y33" s="150"/>
      <c r="Z33" s="151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</row>
    <row r="34" spans="1:100" ht="60" customHeight="1" thickBot="1">
      <c r="A34" s="169"/>
      <c r="B34" s="66" t="s">
        <v>21</v>
      </c>
      <c r="C34" s="155">
        <v>60000</v>
      </c>
      <c r="D34" s="156"/>
      <c r="E34" s="67">
        <f>IFERROR(C34/12,"")</f>
        <v>5000</v>
      </c>
      <c r="F34" s="155">
        <v>60000</v>
      </c>
      <c r="G34" s="156"/>
      <c r="H34" s="67">
        <f>IFERROR(F34/12,"")</f>
        <v>5000</v>
      </c>
      <c r="I34" s="155">
        <v>60000</v>
      </c>
      <c r="J34" s="156"/>
      <c r="K34" s="67">
        <f>IFERROR(I34/12,"")</f>
        <v>5000</v>
      </c>
      <c r="L34" s="155">
        <v>60000</v>
      </c>
      <c r="M34" s="156"/>
      <c r="N34" s="67">
        <f>IFERROR(L34/12,"")</f>
        <v>5000</v>
      </c>
      <c r="O34" s="155">
        <v>60000</v>
      </c>
      <c r="P34" s="156"/>
      <c r="Q34" s="67">
        <f>IFERROR(O34/12,"")</f>
        <v>5000</v>
      </c>
      <c r="R34" s="155">
        <v>60000</v>
      </c>
      <c r="S34" s="156"/>
      <c r="T34" s="67">
        <f>IFERROR(R34/12,"")</f>
        <v>5000</v>
      </c>
      <c r="U34" s="155">
        <v>60000</v>
      </c>
      <c r="V34" s="156"/>
      <c r="W34" s="67">
        <f>IFERROR(U34/12,"")</f>
        <v>5000</v>
      </c>
      <c r="X34" s="152"/>
      <c r="Y34" s="153"/>
      <c r="Z34" s="154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</row>
    <row r="35" spans="1:100" ht="75" customHeight="1" thickTop="1" thickBot="1">
      <c r="A35" s="143" t="s">
        <v>22</v>
      </c>
      <c r="B35" s="68" t="s">
        <v>23</v>
      </c>
      <c r="C35" s="146">
        <f>IFERROR(IF(D26-SUM(C27:C33)-E34=0,"",D26-SUM(C27:C33)-E34),"")</f>
        <v>-5000</v>
      </c>
      <c r="D35" s="147"/>
      <c r="E35" s="148"/>
      <c r="F35" s="137">
        <f>IFERROR(IF(G26-SUM(F27:F33)-H34=0,"",G26-SUM(F27:F33)-H34),"")</f>
        <v>-5000</v>
      </c>
      <c r="G35" s="138"/>
      <c r="H35" s="139"/>
      <c r="I35" s="137">
        <f>IFERROR(IF(J26-SUM(I27:I33)-K34=0,"",J26-SUM(I27:I33)-K34),"")</f>
        <v>-5000</v>
      </c>
      <c r="J35" s="138"/>
      <c r="K35" s="139"/>
      <c r="L35" s="137">
        <f>IFERROR(IF(M26-SUM(L27:L33)-N34=0,"",M26-SUM(L27:L33)-N34),"")</f>
        <v>-5000</v>
      </c>
      <c r="M35" s="138"/>
      <c r="N35" s="139"/>
      <c r="O35" s="137">
        <f>IFERROR(IF(P26-SUM(O27:O33)-Q34=0,"",P26-SUM(O27:O33)-Q34),"")</f>
        <v>-5000</v>
      </c>
      <c r="P35" s="138"/>
      <c r="Q35" s="139"/>
      <c r="R35" s="137">
        <f>IFERROR(IF(S26-SUM(R27:R33)-T34=0,"",S26-SUM(R27:R33)-T34),"")</f>
        <v>-5000</v>
      </c>
      <c r="S35" s="138"/>
      <c r="T35" s="139"/>
      <c r="U35" s="137">
        <f>IFERROR(IF(V26-SUM(U27:U33)-W34=0,"",V26-SUM(U27:U33)-W34),"")</f>
        <v>-5000</v>
      </c>
      <c r="V35" s="138"/>
      <c r="W35" s="139"/>
      <c r="X35" s="128">
        <f>SUM(C35:W35)</f>
        <v>-35000</v>
      </c>
      <c r="Y35" s="129"/>
      <c r="Z35" s="130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</row>
    <row r="36" spans="1:100" ht="75" customHeight="1" thickBot="1">
      <c r="A36" s="144"/>
      <c r="B36" s="69" t="s">
        <v>24</v>
      </c>
      <c r="C36" s="140">
        <f>IF(C35="","",C35*12)</f>
        <v>-60000</v>
      </c>
      <c r="D36" s="141"/>
      <c r="E36" s="142"/>
      <c r="F36" s="140">
        <f>IF(F35="","",F35*12)</f>
        <v>-60000</v>
      </c>
      <c r="G36" s="141"/>
      <c r="H36" s="142"/>
      <c r="I36" s="140">
        <f>IF(I35="","",I35*12)</f>
        <v>-60000</v>
      </c>
      <c r="J36" s="141"/>
      <c r="K36" s="142"/>
      <c r="L36" s="140">
        <f>IF(L35="","",L35*12)</f>
        <v>-60000</v>
      </c>
      <c r="M36" s="141"/>
      <c r="N36" s="142"/>
      <c r="O36" s="140">
        <f>IF(O35="","",O35*12)</f>
        <v>-60000</v>
      </c>
      <c r="P36" s="141"/>
      <c r="Q36" s="142"/>
      <c r="R36" s="140">
        <f>IF(R35="","",R35*12)</f>
        <v>-60000</v>
      </c>
      <c r="S36" s="141"/>
      <c r="T36" s="142"/>
      <c r="U36" s="140">
        <f>IF(U35="","",U35*12)</f>
        <v>-60000</v>
      </c>
      <c r="V36" s="141"/>
      <c r="W36" s="142"/>
      <c r="X36" s="128">
        <f>SUM(C36:W36)</f>
        <v>-420000</v>
      </c>
      <c r="Y36" s="129"/>
      <c r="Z36" s="130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</row>
    <row r="37" spans="1:100" ht="94.5" customHeight="1" thickBot="1">
      <c r="A37" s="145"/>
      <c r="B37" s="70" t="s">
        <v>25</v>
      </c>
      <c r="C37" s="131" t="str">
        <f>IF(OR(C35="",E23=""),"",C35*E23)</f>
        <v/>
      </c>
      <c r="D37" s="132"/>
      <c r="E37" s="133"/>
      <c r="F37" s="131" t="str">
        <f>IF(OR(F35="",H23=""),"",F35*H23)</f>
        <v/>
      </c>
      <c r="G37" s="132"/>
      <c r="H37" s="133"/>
      <c r="I37" s="131" t="str">
        <f>IF(OR(I35="",K23=""),"",I35*K23)</f>
        <v/>
      </c>
      <c r="J37" s="132"/>
      <c r="K37" s="133"/>
      <c r="L37" s="131" t="str">
        <f>IF(OR(L35="",N23=""),"",L35*N23)</f>
        <v/>
      </c>
      <c r="M37" s="132"/>
      <c r="N37" s="133"/>
      <c r="O37" s="131" t="str">
        <f>IF(OR(O35="",Q23=""),"",O35*Q23)</f>
        <v/>
      </c>
      <c r="P37" s="132"/>
      <c r="Q37" s="133"/>
      <c r="R37" s="131" t="str">
        <f>IF(OR(R35="",T23=""),"",R35*T23)</f>
        <v/>
      </c>
      <c r="S37" s="132"/>
      <c r="T37" s="133"/>
      <c r="U37" s="131" t="str">
        <f>IF(OR(U35="",W23=""),"",U35*W23)</f>
        <v/>
      </c>
      <c r="V37" s="132"/>
      <c r="W37" s="133"/>
      <c r="X37" s="134">
        <f>SUM(C37:W37)</f>
        <v>0</v>
      </c>
      <c r="Y37" s="135"/>
      <c r="Z37" s="136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</row>
    <row r="38" spans="1:100" ht="51" customHeight="1" thickTop="1"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</row>
    <row r="39" spans="1:100" ht="51" customHeight="1">
      <c r="C39" s="72" t="s">
        <v>54</v>
      </c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</row>
    <row r="40" spans="1:100" ht="51" customHeight="1"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</row>
    <row r="41" spans="1:100" ht="51" customHeight="1">
      <c r="C41" s="4" t="str">
        <f>IF(C9="","",(D26-C30-C31)*12)</f>
        <v/>
      </c>
      <c r="D41" s="73"/>
      <c r="E41" s="74" t="str">
        <f>IFERROR(ROUNDDOWN(C41/D41/10000,1),"")</f>
        <v/>
      </c>
      <c r="F41" s="4" t="str">
        <f>IF(F9="","",(G26-F30-F31)*12)</f>
        <v/>
      </c>
      <c r="G41" s="73"/>
      <c r="H41" s="74" t="str">
        <f>IFERROR(ROUNDDOWN(F41/G41/10000,1),"")</f>
        <v/>
      </c>
      <c r="I41" s="4" t="str">
        <f>IF(I9="","",(J26-I30-I31)*12)</f>
        <v/>
      </c>
      <c r="J41" s="73"/>
      <c r="K41" s="74" t="str">
        <f>IFERROR(ROUNDDOWN(I41/J41/10000,1),"")</f>
        <v/>
      </c>
      <c r="L41" s="4" t="str">
        <f>IF(L9="","",(M26-L30-L31)*12)</f>
        <v/>
      </c>
      <c r="M41" s="73"/>
      <c r="N41" s="74" t="str">
        <f>IFERROR(ROUNDDOWN(L41/M41/10000,1),"")</f>
        <v/>
      </c>
      <c r="O41" s="4" t="str">
        <f>IF(O9="","",(P26-O30-O31)*12)</f>
        <v/>
      </c>
      <c r="P41" s="73"/>
      <c r="Q41" s="74" t="str">
        <f>IFERROR(ROUNDDOWN(O41/P41/10000,1),"")</f>
        <v/>
      </c>
      <c r="R41" s="4" t="str">
        <f>IF(R9="","",(S26-R30-R31)*12)</f>
        <v/>
      </c>
      <c r="S41" s="73"/>
      <c r="T41" s="74" t="str">
        <f>IFERROR(ROUNDDOWN(R41/S41/10000,1),"")</f>
        <v/>
      </c>
      <c r="U41" s="4" t="str">
        <f>IF(U9="","",(V26-U30-U31)*12)</f>
        <v/>
      </c>
      <c r="V41" s="73"/>
      <c r="W41" s="74" t="str">
        <f>IFERROR(ROUNDDOWN(U41/V41/10000,1),"")</f>
        <v/>
      </c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</row>
    <row r="42" spans="1:100" ht="51" customHeight="1"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</row>
    <row r="43" spans="1:100" ht="51" customHeight="1" thickBot="1"/>
    <row r="44" spans="1:100" ht="50" customHeight="1">
      <c r="A44" s="123" t="s">
        <v>55</v>
      </c>
      <c r="B44" s="123"/>
      <c r="C44" s="124">
        <f>C9</f>
        <v>0</v>
      </c>
      <c r="D44" s="125"/>
      <c r="E44" s="75" t="s">
        <v>56</v>
      </c>
      <c r="F44" s="124">
        <f>F9</f>
        <v>0</v>
      </c>
      <c r="G44" s="125"/>
      <c r="H44" s="75" t="s">
        <v>56</v>
      </c>
      <c r="I44" s="124">
        <f>I9</f>
        <v>0</v>
      </c>
      <c r="J44" s="125"/>
      <c r="K44" s="75" t="s">
        <v>56</v>
      </c>
      <c r="L44" s="124">
        <f>L9</f>
        <v>0</v>
      </c>
      <c r="M44" s="125"/>
      <c r="N44" s="75" t="s">
        <v>56</v>
      </c>
      <c r="O44" s="124">
        <f>O9</f>
        <v>0</v>
      </c>
      <c r="P44" s="125"/>
      <c r="Q44" s="75" t="s">
        <v>56</v>
      </c>
      <c r="R44" s="124">
        <f>R9</f>
        <v>0</v>
      </c>
      <c r="S44" s="125"/>
      <c r="T44" s="75" t="s">
        <v>56</v>
      </c>
      <c r="U44" s="124">
        <f>U9</f>
        <v>0</v>
      </c>
      <c r="V44" s="125"/>
      <c r="W44" s="75" t="s">
        <v>56</v>
      </c>
    </row>
    <row r="45" spans="1:100" ht="50" customHeight="1">
      <c r="B45" s="4"/>
      <c r="C45" s="76" t="s">
        <v>14</v>
      </c>
      <c r="D45" s="77"/>
      <c r="E45" s="78"/>
      <c r="F45" s="76" t="s">
        <v>14</v>
      </c>
      <c r="G45" s="77"/>
      <c r="H45" s="78"/>
      <c r="I45" s="76" t="s">
        <v>14</v>
      </c>
      <c r="J45" s="77"/>
      <c r="K45" s="78"/>
      <c r="L45" s="76" t="s">
        <v>14</v>
      </c>
      <c r="M45" s="77"/>
      <c r="N45" s="78"/>
      <c r="O45" s="76" t="s">
        <v>14</v>
      </c>
      <c r="P45" s="77"/>
      <c r="Q45" s="78"/>
      <c r="R45" s="76" t="s">
        <v>14</v>
      </c>
      <c r="S45" s="77"/>
      <c r="T45" s="78"/>
      <c r="U45" s="76" t="s">
        <v>14</v>
      </c>
      <c r="V45" s="77"/>
      <c r="W45" s="78"/>
    </row>
    <row r="46" spans="1:100" ht="50" customHeight="1">
      <c r="B46" s="4"/>
      <c r="C46" s="76" t="s">
        <v>57</v>
      </c>
      <c r="D46" s="77"/>
      <c r="E46" s="78"/>
      <c r="F46" s="76" t="s">
        <v>57</v>
      </c>
      <c r="G46" s="77"/>
      <c r="H46" s="78"/>
      <c r="I46" s="76" t="s">
        <v>57</v>
      </c>
      <c r="J46" s="77"/>
      <c r="K46" s="78"/>
      <c r="L46" s="76" t="s">
        <v>57</v>
      </c>
      <c r="M46" s="77"/>
      <c r="N46" s="78"/>
      <c r="O46" s="76" t="s">
        <v>57</v>
      </c>
      <c r="P46" s="77"/>
      <c r="Q46" s="78"/>
      <c r="R46" s="76" t="s">
        <v>57</v>
      </c>
      <c r="S46" s="77"/>
      <c r="T46" s="78"/>
      <c r="U46" s="76" t="s">
        <v>57</v>
      </c>
      <c r="V46" s="77"/>
      <c r="W46" s="78"/>
    </row>
    <row r="47" spans="1:100" ht="50" customHeight="1">
      <c r="B47" s="4"/>
      <c r="C47" s="76" t="s">
        <v>58</v>
      </c>
      <c r="D47" s="77" t="e">
        <f>D46/E47*E11</f>
        <v>#DIV/0!</v>
      </c>
      <c r="E47" s="79"/>
      <c r="F47" s="76" t="s">
        <v>58</v>
      </c>
      <c r="G47" s="77" t="e">
        <f>G46/H47*H11</f>
        <v>#DIV/0!</v>
      </c>
      <c r="H47" s="79"/>
      <c r="I47" s="76" t="s">
        <v>58</v>
      </c>
      <c r="J47" s="77" t="e">
        <f>J46/K47*K11</f>
        <v>#DIV/0!</v>
      </c>
      <c r="K47" s="79"/>
      <c r="L47" s="76" t="s">
        <v>58</v>
      </c>
      <c r="M47" s="77" t="e">
        <f>M46/N47*N11</f>
        <v>#DIV/0!</v>
      </c>
      <c r="N47" s="79"/>
      <c r="O47" s="76" t="s">
        <v>58</v>
      </c>
      <c r="P47" s="77" t="e">
        <f>P46/Q47*Q11</f>
        <v>#DIV/0!</v>
      </c>
      <c r="Q47" s="79"/>
      <c r="R47" s="76" t="s">
        <v>58</v>
      </c>
      <c r="S47" s="77" t="e">
        <f>S46/T47*T11</f>
        <v>#DIV/0!</v>
      </c>
      <c r="T47" s="79"/>
      <c r="U47" s="76" t="s">
        <v>58</v>
      </c>
      <c r="V47" s="77" t="e">
        <f>V46/W47*W11</f>
        <v>#DIV/0!</v>
      </c>
      <c r="W47" s="79"/>
    </row>
    <row r="48" spans="1:100" ht="51" customHeight="1" thickBot="1">
      <c r="C48" s="80" t="s">
        <v>59</v>
      </c>
      <c r="D48" s="126"/>
      <c r="E48" s="127"/>
      <c r="F48" s="80" t="s">
        <v>59</v>
      </c>
      <c r="G48" s="126"/>
      <c r="H48" s="127"/>
      <c r="I48" s="80" t="s">
        <v>59</v>
      </c>
      <c r="J48" s="126"/>
      <c r="K48" s="127"/>
      <c r="L48" s="80" t="s">
        <v>59</v>
      </c>
      <c r="M48" s="126"/>
      <c r="N48" s="127"/>
      <c r="O48" s="80" t="s">
        <v>59</v>
      </c>
      <c r="P48" s="126"/>
      <c r="Q48" s="127"/>
      <c r="R48" s="80" t="s">
        <v>59</v>
      </c>
      <c r="S48" s="126"/>
      <c r="T48" s="127"/>
      <c r="U48" s="80" t="s">
        <v>59</v>
      </c>
      <c r="V48" s="126"/>
      <c r="W48" s="127"/>
    </row>
    <row r="49" spans="1:23" ht="51" customHeight="1">
      <c r="C49" s="81"/>
      <c r="D49" s="7"/>
      <c r="E49" s="7"/>
      <c r="F49" s="81"/>
      <c r="G49" s="82"/>
      <c r="H49" s="82"/>
      <c r="I49" s="81"/>
      <c r="J49" s="82"/>
      <c r="K49" s="82"/>
      <c r="L49" s="81"/>
      <c r="M49" s="71"/>
      <c r="N49" s="71"/>
      <c r="O49" s="81"/>
      <c r="P49" s="82"/>
      <c r="Q49" s="82"/>
      <c r="R49" s="81"/>
      <c r="S49" s="82"/>
      <c r="T49" s="82"/>
      <c r="U49" s="81"/>
      <c r="V49" s="71"/>
      <c r="W49" s="71"/>
    </row>
    <row r="50" spans="1:23" ht="51" customHeight="1" thickBot="1">
      <c r="C50" s="81" t="s">
        <v>56</v>
      </c>
      <c r="D50" s="7"/>
      <c r="E50" s="7"/>
      <c r="F50" s="81" t="s">
        <v>56</v>
      </c>
      <c r="G50" s="82"/>
      <c r="H50" s="82"/>
      <c r="I50" s="81" t="s">
        <v>56</v>
      </c>
      <c r="J50" s="82"/>
      <c r="K50" s="82"/>
      <c r="L50" s="81" t="s">
        <v>56</v>
      </c>
      <c r="M50" s="71"/>
      <c r="N50" s="71"/>
      <c r="O50" s="81" t="s">
        <v>56</v>
      </c>
      <c r="P50" s="82"/>
      <c r="Q50" s="82"/>
      <c r="R50" s="81" t="s">
        <v>56</v>
      </c>
      <c r="S50" s="82"/>
      <c r="T50" s="82"/>
      <c r="U50" s="81" t="s">
        <v>56</v>
      </c>
      <c r="V50" s="71"/>
      <c r="W50" s="71"/>
    </row>
    <row r="51" spans="1:23" ht="51" customHeight="1">
      <c r="A51" s="123" t="s">
        <v>60</v>
      </c>
      <c r="B51" s="123"/>
      <c r="C51" s="83"/>
      <c r="D51" s="119"/>
      <c r="E51" s="120"/>
      <c r="F51" s="83"/>
      <c r="G51" s="119"/>
      <c r="H51" s="120"/>
      <c r="I51" s="83"/>
      <c r="J51" s="119"/>
      <c r="K51" s="120"/>
      <c r="L51" s="83"/>
      <c r="M51" s="119"/>
      <c r="N51" s="120"/>
      <c r="O51" s="83"/>
      <c r="P51" s="119"/>
      <c r="Q51" s="120"/>
      <c r="R51" s="83"/>
      <c r="S51" s="119"/>
      <c r="T51" s="120"/>
      <c r="U51" s="83"/>
      <c r="V51" s="119"/>
      <c r="W51" s="120"/>
    </row>
    <row r="52" spans="1:23" ht="51" customHeight="1">
      <c r="C52" s="84">
        <f>C51+40</f>
        <v>40</v>
      </c>
      <c r="D52" s="121"/>
      <c r="E52" s="122"/>
      <c r="F52" s="84">
        <f>F51+40</f>
        <v>40</v>
      </c>
      <c r="G52" s="121"/>
      <c r="H52" s="122"/>
      <c r="I52" s="84">
        <f>I51+40</f>
        <v>40</v>
      </c>
      <c r="J52" s="121"/>
      <c r="K52" s="122"/>
      <c r="L52" s="84">
        <f>L51+40</f>
        <v>40</v>
      </c>
      <c r="M52" s="121"/>
      <c r="N52" s="122"/>
      <c r="O52" s="84">
        <f>O51+40</f>
        <v>40</v>
      </c>
      <c r="P52" s="121"/>
      <c r="Q52" s="122"/>
      <c r="R52" s="84">
        <f>R51+40</f>
        <v>40</v>
      </c>
      <c r="S52" s="121"/>
      <c r="T52" s="122"/>
      <c r="U52" s="84">
        <f>U51+40</f>
        <v>40</v>
      </c>
      <c r="V52" s="121"/>
      <c r="W52" s="122"/>
    </row>
    <row r="53" spans="1:23" ht="51" customHeight="1" thickBot="1">
      <c r="C53" s="85" t="s">
        <v>61</v>
      </c>
      <c r="D53" s="115">
        <f>D51-D52</f>
        <v>0</v>
      </c>
      <c r="E53" s="116"/>
      <c r="F53" s="85" t="s">
        <v>61</v>
      </c>
      <c r="G53" s="115">
        <f>G51-G52</f>
        <v>0</v>
      </c>
      <c r="H53" s="116"/>
      <c r="I53" s="85" t="s">
        <v>61</v>
      </c>
      <c r="J53" s="115">
        <f>J51-J52</f>
        <v>0</v>
      </c>
      <c r="K53" s="116"/>
      <c r="L53" s="85" t="s">
        <v>61</v>
      </c>
      <c r="M53" s="115">
        <f>M51-M52</f>
        <v>0</v>
      </c>
      <c r="N53" s="116"/>
      <c r="O53" s="85" t="s">
        <v>61</v>
      </c>
      <c r="P53" s="115">
        <f>P51-P52</f>
        <v>0</v>
      </c>
      <c r="Q53" s="116"/>
      <c r="R53" s="85" t="s">
        <v>61</v>
      </c>
      <c r="S53" s="115">
        <f>S51-S52</f>
        <v>0</v>
      </c>
      <c r="T53" s="116"/>
      <c r="U53" s="85" t="s">
        <v>61</v>
      </c>
      <c r="V53" s="115">
        <f>V51-V52</f>
        <v>0</v>
      </c>
      <c r="W53" s="116"/>
    </row>
    <row r="54" spans="1:23" ht="51" customHeight="1">
      <c r="C54" s="81"/>
      <c r="D54" s="7"/>
      <c r="E54" s="7"/>
      <c r="F54" s="81"/>
      <c r="G54" s="82"/>
      <c r="H54" s="82"/>
      <c r="I54" s="81"/>
      <c r="J54" s="82"/>
      <c r="K54" s="82"/>
      <c r="L54" s="81"/>
      <c r="M54" s="71"/>
      <c r="N54" s="71"/>
      <c r="O54" s="81"/>
      <c r="P54" s="82"/>
      <c r="Q54" s="82"/>
      <c r="R54" s="81"/>
      <c r="S54" s="82"/>
      <c r="T54" s="82"/>
      <c r="U54" s="81"/>
      <c r="V54" s="71"/>
      <c r="W54" s="71"/>
    </row>
    <row r="55" spans="1:23" ht="50" customHeight="1" thickBot="1">
      <c r="B55" s="71"/>
      <c r="C55" s="117">
        <f>C18</f>
        <v>0</v>
      </c>
      <c r="D55" s="118"/>
      <c r="E55" s="71"/>
      <c r="F55" s="117">
        <f>F18</f>
        <v>0</v>
      </c>
      <c r="G55" s="118"/>
      <c r="H55" s="71"/>
      <c r="I55" s="117">
        <f>I18</f>
        <v>0</v>
      </c>
      <c r="J55" s="118"/>
      <c r="K55" s="71"/>
      <c r="L55" s="117">
        <f>L18</f>
        <v>0</v>
      </c>
      <c r="M55" s="118"/>
      <c r="N55" s="71"/>
      <c r="O55" s="117">
        <f>O18</f>
        <v>0</v>
      </c>
      <c r="P55" s="118"/>
      <c r="Q55" s="71"/>
      <c r="R55" s="117">
        <f>R18</f>
        <v>0</v>
      </c>
      <c r="S55" s="118"/>
      <c r="T55" s="71"/>
      <c r="U55" s="117">
        <f>U18</f>
        <v>0</v>
      </c>
      <c r="V55" s="118"/>
      <c r="W55" s="71"/>
    </row>
    <row r="56" spans="1:23" ht="50" customHeight="1">
      <c r="A56" s="111" t="s">
        <v>62</v>
      </c>
      <c r="B56" s="111"/>
      <c r="C56" s="108">
        <f>D53</f>
        <v>0</v>
      </c>
      <c r="D56" s="109"/>
      <c r="E56" s="110"/>
      <c r="F56" s="108">
        <f>G53</f>
        <v>0</v>
      </c>
      <c r="G56" s="109"/>
      <c r="H56" s="110"/>
      <c r="I56" s="108">
        <f>J53</f>
        <v>0</v>
      </c>
      <c r="J56" s="109"/>
      <c r="K56" s="110"/>
      <c r="L56" s="108">
        <f>M53</f>
        <v>0</v>
      </c>
      <c r="M56" s="109"/>
      <c r="N56" s="110"/>
      <c r="O56" s="108">
        <f>P53</f>
        <v>0</v>
      </c>
      <c r="P56" s="109"/>
      <c r="Q56" s="110"/>
      <c r="R56" s="108">
        <f>S53</f>
        <v>0</v>
      </c>
      <c r="S56" s="109"/>
      <c r="T56" s="110"/>
      <c r="U56" s="108">
        <f>V53</f>
        <v>0</v>
      </c>
      <c r="V56" s="109"/>
      <c r="W56" s="110"/>
    </row>
    <row r="57" spans="1:23" ht="50" customHeight="1" thickBot="1">
      <c r="A57" s="111" t="s">
        <v>63</v>
      </c>
      <c r="B57" s="111"/>
      <c r="C57" s="112">
        <f>C56*12</f>
        <v>0</v>
      </c>
      <c r="D57" s="113"/>
      <c r="E57" s="114"/>
      <c r="F57" s="112">
        <f t="shared" ref="F57" si="53">F56*12</f>
        <v>0</v>
      </c>
      <c r="G57" s="113"/>
      <c r="H57" s="114"/>
      <c r="I57" s="112">
        <f t="shared" ref="I57" si="54">I56*12</f>
        <v>0</v>
      </c>
      <c r="J57" s="113"/>
      <c r="K57" s="114"/>
      <c r="L57" s="112">
        <f t="shared" ref="L57" si="55">L56*12</f>
        <v>0</v>
      </c>
      <c r="M57" s="113"/>
      <c r="N57" s="114"/>
      <c r="O57" s="112">
        <f t="shared" ref="O57" si="56">O56*12</f>
        <v>0</v>
      </c>
      <c r="P57" s="113"/>
      <c r="Q57" s="114"/>
      <c r="R57" s="112">
        <f t="shared" ref="R57" si="57">R56*12</f>
        <v>0</v>
      </c>
      <c r="S57" s="113"/>
      <c r="T57" s="114"/>
      <c r="U57" s="112">
        <f t="shared" ref="U57" si="58">U56*12</f>
        <v>0</v>
      </c>
      <c r="V57" s="113"/>
      <c r="W57" s="114"/>
    </row>
    <row r="58" spans="1:23" ht="50" customHeight="1"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</row>
    <row r="59" spans="1:23" s="86" customFormat="1" ht="24" customHeight="1"/>
    <row r="60" spans="1:23" ht="50" customHeight="1" thickBot="1"/>
    <row r="61" spans="1:23" ht="50" customHeight="1" thickTop="1">
      <c r="A61" s="105" t="s">
        <v>22</v>
      </c>
      <c r="B61" s="87" t="s">
        <v>64</v>
      </c>
      <c r="C61" s="102" t="str">
        <f>IF(YEAR(C23)-C11&lt;=1,"新築","中古")</f>
        <v>中古</v>
      </c>
      <c r="D61" s="103"/>
      <c r="E61" s="104"/>
      <c r="F61" s="102" t="str">
        <f t="shared" ref="F61" si="59">IF(YEAR(F23)-F11&lt;=1,"新築","中古")</f>
        <v>中古</v>
      </c>
      <c r="G61" s="103"/>
      <c r="H61" s="104"/>
      <c r="I61" s="102" t="str">
        <f t="shared" ref="I61" si="60">IF(YEAR(I23)-I11&lt;=1,"新築","中古")</f>
        <v>中古</v>
      </c>
      <c r="J61" s="103"/>
      <c r="K61" s="104"/>
      <c r="L61" s="102" t="str">
        <f t="shared" ref="L61" si="61">IF(YEAR(L23)-L11&lt;=1,"新築","中古")</f>
        <v>中古</v>
      </c>
      <c r="M61" s="103"/>
      <c r="N61" s="104"/>
      <c r="O61" s="102" t="str">
        <f t="shared" ref="O61" si="62">IF(YEAR(O23)-O11&lt;=1,"新築","中古")</f>
        <v>中古</v>
      </c>
      <c r="P61" s="103"/>
      <c r="Q61" s="104"/>
      <c r="R61" s="102" t="str">
        <f t="shared" ref="R61" si="63">IF(YEAR(R23)-R11&lt;=1,"新築","中古")</f>
        <v>中古</v>
      </c>
      <c r="S61" s="103"/>
      <c r="T61" s="104"/>
      <c r="U61" s="102" t="str">
        <f t="shared" ref="U61" si="64">IF(YEAR(U23)-U11&lt;=1,"新築","中古")</f>
        <v>中古</v>
      </c>
      <c r="V61" s="103"/>
      <c r="W61" s="104"/>
    </row>
    <row r="62" spans="1:23" ht="50" customHeight="1">
      <c r="A62" s="106"/>
      <c r="B62" s="88" t="s">
        <v>65</v>
      </c>
      <c r="C62" s="96" t="str">
        <f>IF($B$7-YEAR(C23)&gt;=6,"長期","短期")</f>
        <v>長期</v>
      </c>
      <c r="D62" s="97"/>
      <c r="E62" s="98"/>
      <c r="F62" s="96" t="str">
        <f>IF($B$7-YEAR(F23)&gt;=6,"長期","短期")</f>
        <v>長期</v>
      </c>
      <c r="G62" s="97"/>
      <c r="H62" s="98"/>
      <c r="I62" s="96" t="str">
        <f>IF($B$7-YEAR(I23)&gt;=6,"長期","短期")</f>
        <v>長期</v>
      </c>
      <c r="J62" s="97"/>
      <c r="K62" s="98"/>
      <c r="L62" s="96" t="str">
        <f t="shared" ref="L62" si="65">IF($B$7-YEAR(L23)&gt;=6,"長期","短期")</f>
        <v>長期</v>
      </c>
      <c r="M62" s="97"/>
      <c r="N62" s="98"/>
      <c r="O62" s="96" t="str">
        <f>IF($B$7-YEAR(O23)&gt;=6,"長期","短期")</f>
        <v>長期</v>
      </c>
      <c r="P62" s="97"/>
      <c r="Q62" s="98"/>
      <c r="R62" s="96" t="str">
        <f>IF($B$7-YEAR(R23)&gt;=6,"長期","短期")</f>
        <v>長期</v>
      </c>
      <c r="S62" s="97"/>
      <c r="T62" s="98"/>
      <c r="U62" s="96" t="str">
        <f t="shared" ref="U62" si="66">IF($B$7-YEAR(U23)&gt;=6,"長期","短期")</f>
        <v>長期</v>
      </c>
      <c r="V62" s="97"/>
      <c r="W62" s="98"/>
    </row>
    <row r="63" spans="1:23" ht="50" customHeight="1">
      <c r="A63" s="106"/>
      <c r="B63" s="89" t="s">
        <v>66</v>
      </c>
      <c r="C63" s="96">
        <f>YEAR(C23)-C11</f>
        <v>1900</v>
      </c>
      <c r="D63" s="97"/>
      <c r="E63" s="98"/>
      <c r="F63" s="96">
        <f>YEAR(F23)-F11</f>
        <v>1900</v>
      </c>
      <c r="G63" s="97"/>
      <c r="H63" s="98"/>
      <c r="I63" s="96">
        <f t="shared" ref="I63" si="67">YEAR(I23)-I11</f>
        <v>1900</v>
      </c>
      <c r="J63" s="97"/>
      <c r="K63" s="98"/>
      <c r="L63" s="96">
        <f t="shared" ref="L63" si="68">YEAR(L23)-L11</f>
        <v>1900</v>
      </c>
      <c r="M63" s="97"/>
      <c r="N63" s="98"/>
      <c r="O63" s="96">
        <f t="shared" ref="O63" si="69">YEAR(O23)-O11</f>
        <v>1900</v>
      </c>
      <c r="P63" s="97"/>
      <c r="Q63" s="98"/>
      <c r="R63" s="96">
        <f t="shared" ref="R63" si="70">YEAR(R23)-R11</f>
        <v>1900</v>
      </c>
      <c r="S63" s="97"/>
      <c r="T63" s="98"/>
      <c r="U63" s="96">
        <f t="shared" ref="U63" si="71">YEAR(U23)-U11</f>
        <v>1900</v>
      </c>
      <c r="V63" s="97"/>
      <c r="W63" s="98"/>
    </row>
    <row r="64" spans="1:23" ht="50" customHeight="1" thickBot="1">
      <c r="A64" s="107"/>
      <c r="B64" s="90" t="s">
        <v>67</v>
      </c>
      <c r="C64" s="99" t="s">
        <v>69</v>
      </c>
      <c r="D64" s="100"/>
      <c r="E64" s="101"/>
      <c r="F64" s="99" t="s">
        <v>69</v>
      </c>
      <c r="G64" s="100"/>
      <c r="H64" s="101"/>
      <c r="I64" s="99" t="s">
        <v>69</v>
      </c>
      <c r="J64" s="100"/>
      <c r="K64" s="101"/>
      <c r="L64" s="99" t="s">
        <v>69</v>
      </c>
      <c r="M64" s="100"/>
      <c r="N64" s="101"/>
      <c r="O64" s="99">
        <v>0</v>
      </c>
      <c r="P64" s="100"/>
      <c r="Q64" s="101"/>
      <c r="R64" s="99">
        <v>0</v>
      </c>
      <c r="S64" s="100"/>
      <c r="T64" s="101"/>
      <c r="U64" s="99">
        <v>0</v>
      </c>
      <c r="V64" s="100"/>
      <c r="W64" s="101"/>
    </row>
    <row r="65" ht="15" thickTop="1"/>
  </sheetData>
  <mergeCells count="406">
    <mergeCell ref="A1:C1"/>
    <mergeCell ref="A2:C3"/>
    <mergeCell ref="D2:E3"/>
    <mergeCell ref="J2:K3"/>
    <mergeCell ref="L2:N3"/>
    <mergeCell ref="P2:Q3"/>
    <mergeCell ref="A8:B8"/>
    <mergeCell ref="D8:E8"/>
    <mergeCell ref="G8:H8"/>
    <mergeCell ref="J8:K8"/>
    <mergeCell ref="M8:N8"/>
    <mergeCell ref="P8:Q8"/>
    <mergeCell ref="S8:T8"/>
    <mergeCell ref="V8:W8"/>
    <mergeCell ref="S2:T3"/>
    <mergeCell ref="U2:W3"/>
    <mergeCell ref="A4:A6"/>
    <mergeCell ref="B4:E6"/>
    <mergeCell ref="K4:N4"/>
    <mergeCell ref="Q4:W4"/>
    <mergeCell ref="K5:N5"/>
    <mergeCell ref="Q5:W5"/>
    <mergeCell ref="K6:N6"/>
    <mergeCell ref="Q6:W6"/>
    <mergeCell ref="AN8:AN9"/>
    <mergeCell ref="C9:E9"/>
    <mergeCell ref="F9:H9"/>
    <mergeCell ref="I9:K9"/>
    <mergeCell ref="L9:N9"/>
    <mergeCell ref="O9:Q9"/>
    <mergeCell ref="R9:T9"/>
    <mergeCell ref="AW6:AY11"/>
    <mergeCell ref="C7:D7"/>
    <mergeCell ref="U9:W9"/>
    <mergeCell ref="AI9:AJ9"/>
    <mergeCell ref="AI10:AJ11"/>
    <mergeCell ref="AK10:AK11"/>
    <mergeCell ref="AB11:AC11"/>
    <mergeCell ref="AD11:AE11"/>
    <mergeCell ref="AK8:AK9"/>
    <mergeCell ref="AL8:AL9"/>
    <mergeCell ref="AM8:AM9"/>
    <mergeCell ref="AB14:AL14"/>
    <mergeCell ref="AW14:AX14"/>
    <mergeCell ref="C15:E15"/>
    <mergeCell ref="F15:H15"/>
    <mergeCell ref="I15:K15"/>
    <mergeCell ref="L15:N15"/>
    <mergeCell ref="O15:Q15"/>
    <mergeCell ref="R15:T15"/>
    <mergeCell ref="U15:W15"/>
    <mergeCell ref="AB15:AC15"/>
    <mergeCell ref="C14:E14"/>
    <mergeCell ref="F14:H14"/>
    <mergeCell ref="I14:K14"/>
    <mergeCell ref="L14:N14"/>
    <mergeCell ref="O14:Q14"/>
    <mergeCell ref="R14:T14"/>
    <mergeCell ref="U14:W14"/>
    <mergeCell ref="AE15:AF15"/>
    <mergeCell ref="AH15:AI15"/>
    <mergeCell ref="AK15:AL15"/>
    <mergeCell ref="AW15:AX15"/>
    <mergeCell ref="A16:A25"/>
    <mergeCell ref="C16:E16"/>
    <mergeCell ref="F16:H16"/>
    <mergeCell ref="I16:K16"/>
    <mergeCell ref="L16:N16"/>
    <mergeCell ref="O16:Q16"/>
    <mergeCell ref="A14:A15"/>
    <mergeCell ref="AH16:AI16"/>
    <mergeCell ref="AJ16:AJ17"/>
    <mergeCell ref="AK16:AL16"/>
    <mergeCell ref="AW16:AX16"/>
    <mergeCell ref="C17:E17"/>
    <mergeCell ref="F17:H17"/>
    <mergeCell ref="I17:K17"/>
    <mergeCell ref="L17:N17"/>
    <mergeCell ref="O17:Q17"/>
    <mergeCell ref="R17:T17"/>
    <mergeCell ref="R16:T16"/>
    <mergeCell ref="U16:W16"/>
    <mergeCell ref="AB16:AC16"/>
    <mergeCell ref="AD16:AD17"/>
    <mergeCell ref="AE16:AF16"/>
    <mergeCell ref="AG16:AG17"/>
    <mergeCell ref="U17:W17"/>
    <mergeCell ref="X17:Z17"/>
    <mergeCell ref="AB17:AC17"/>
    <mergeCell ref="AE17:AF17"/>
    <mergeCell ref="AH17:AI17"/>
    <mergeCell ref="AK17:AL17"/>
    <mergeCell ref="AW17:AX17"/>
    <mergeCell ref="B18:B19"/>
    <mergeCell ref="C18:E18"/>
    <mergeCell ref="F18:H18"/>
    <mergeCell ref="I18:K18"/>
    <mergeCell ref="L18:N18"/>
    <mergeCell ref="O18:Q18"/>
    <mergeCell ref="R18:T18"/>
    <mergeCell ref="BB18:BB19"/>
    <mergeCell ref="BC18:BC19"/>
    <mergeCell ref="BD18:BD19"/>
    <mergeCell ref="BE18:BE19"/>
    <mergeCell ref="BF18:BF19"/>
    <mergeCell ref="BG18:BG19"/>
    <mergeCell ref="U18:W18"/>
    <mergeCell ref="AE18:AF18"/>
    <mergeCell ref="AW18:AX19"/>
    <mergeCell ref="AY18:AY19"/>
    <mergeCell ref="AZ18:AZ19"/>
    <mergeCell ref="BA18:BA19"/>
    <mergeCell ref="BN18:BN19"/>
    <mergeCell ref="BO18:BO19"/>
    <mergeCell ref="BP18:BP19"/>
    <mergeCell ref="BQ18:BQ19"/>
    <mergeCell ref="BR18:BR19"/>
    <mergeCell ref="BS18:BS19"/>
    <mergeCell ref="BH18:BH19"/>
    <mergeCell ref="BI18:BI19"/>
    <mergeCell ref="BJ18:BJ19"/>
    <mergeCell ref="BK18:BK19"/>
    <mergeCell ref="BL18:BL19"/>
    <mergeCell ref="BM18:BM19"/>
    <mergeCell ref="CB18:CB19"/>
    <mergeCell ref="CC18:CC19"/>
    <mergeCell ref="CD18:CD19"/>
    <mergeCell ref="CE18:CE19"/>
    <mergeCell ref="BT18:BT19"/>
    <mergeCell ref="BU18:BU19"/>
    <mergeCell ref="BV18:BV19"/>
    <mergeCell ref="BW18:BW19"/>
    <mergeCell ref="BX18:BX19"/>
    <mergeCell ref="BY18:BY19"/>
    <mergeCell ref="CR18:CR19"/>
    <mergeCell ref="CS18:CS19"/>
    <mergeCell ref="CT18:CT19"/>
    <mergeCell ref="CU18:CU19"/>
    <mergeCell ref="CV18:CV19"/>
    <mergeCell ref="C19:E19"/>
    <mergeCell ref="F19:H19"/>
    <mergeCell ref="I19:K19"/>
    <mergeCell ref="L19:N19"/>
    <mergeCell ref="O19:Q19"/>
    <mergeCell ref="CL18:CL19"/>
    <mergeCell ref="CM18:CM19"/>
    <mergeCell ref="CN18:CN19"/>
    <mergeCell ref="CO18:CO19"/>
    <mergeCell ref="CP18:CP19"/>
    <mergeCell ref="CQ18:CQ19"/>
    <mergeCell ref="CF18:CF19"/>
    <mergeCell ref="CG18:CG19"/>
    <mergeCell ref="CH18:CH19"/>
    <mergeCell ref="CI18:CI19"/>
    <mergeCell ref="CJ18:CJ19"/>
    <mergeCell ref="CK18:CK19"/>
    <mergeCell ref="BZ18:BZ19"/>
    <mergeCell ref="CA18:CA19"/>
    <mergeCell ref="R19:T19"/>
    <mergeCell ref="U19:W19"/>
    <mergeCell ref="X19:Z19"/>
    <mergeCell ref="C20:E20"/>
    <mergeCell ref="F20:H20"/>
    <mergeCell ref="I20:K20"/>
    <mergeCell ref="L20:N20"/>
    <mergeCell ref="O20:Q20"/>
    <mergeCell ref="R20:T20"/>
    <mergeCell ref="U20:W20"/>
    <mergeCell ref="AW20:AX20"/>
    <mergeCell ref="C21:E21"/>
    <mergeCell ref="F21:H21"/>
    <mergeCell ref="I21:K21"/>
    <mergeCell ref="L21:N21"/>
    <mergeCell ref="O21:Q21"/>
    <mergeCell ref="R21:T21"/>
    <mergeCell ref="U21:W21"/>
    <mergeCell ref="AW21:AX21"/>
    <mergeCell ref="U22:W22"/>
    <mergeCell ref="AW22:AX22"/>
    <mergeCell ref="B23:B25"/>
    <mergeCell ref="C23:D23"/>
    <mergeCell ref="E23:E24"/>
    <mergeCell ref="F23:G23"/>
    <mergeCell ref="H23:H24"/>
    <mergeCell ref="I23:J23"/>
    <mergeCell ref="K23:K24"/>
    <mergeCell ref="L23:M23"/>
    <mergeCell ref="C22:E22"/>
    <mergeCell ref="F22:H22"/>
    <mergeCell ref="I22:K22"/>
    <mergeCell ref="L22:N22"/>
    <mergeCell ref="O22:Q22"/>
    <mergeCell ref="R22:T22"/>
    <mergeCell ref="BC24:BD35"/>
    <mergeCell ref="BE24:BF35"/>
    <mergeCell ref="BG24:BH35"/>
    <mergeCell ref="W23:W24"/>
    <mergeCell ref="X23:Z25"/>
    <mergeCell ref="C24:D24"/>
    <mergeCell ref="F24:G24"/>
    <mergeCell ref="I24:J24"/>
    <mergeCell ref="L24:M24"/>
    <mergeCell ref="O24:P24"/>
    <mergeCell ref="R24:S24"/>
    <mergeCell ref="U24:V24"/>
    <mergeCell ref="C25:D25"/>
    <mergeCell ref="N23:N24"/>
    <mergeCell ref="O23:P23"/>
    <mergeCell ref="Q23:Q24"/>
    <mergeCell ref="R23:S23"/>
    <mergeCell ref="T23:T24"/>
    <mergeCell ref="U23:V23"/>
    <mergeCell ref="F25:G25"/>
    <mergeCell ref="I25:J25"/>
    <mergeCell ref="L25:M25"/>
    <mergeCell ref="O25:P25"/>
    <mergeCell ref="R25:S25"/>
    <mergeCell ref="U25:V25"/>
    <mergeCell ref="AW24:AX35"/>
    <mergeCell ref="AY24:AZ35"/>
    <mergeCell ref="BA24:BB35"/>
    <mergeCell ref="V26:W26"/>
    <mergeCell ref="X26:Z26"/>
    <mergeCell ref="B27:B29"/>
    <mergeCell ref="C27:E29"/>
    <mergeCell ref="F27:H29"/>
    <mergeCell ref="I27:K29"/>
    <mergeCell ref="L27:N29"/>
    <mergeCell ref="O27:Q29"/>
    <mergeCell ref="R27:T29"/>
    <mergeCell ref="U27:W29"/>
    <mergeCell ref="D26:E26"/>
    <mergeCell ref="G26:H26"/>
    <mergeCell ref="J26:K26"/>
    <mergeCell ref="M26:N26"/>
    <mergeCell ref="P26:Q26"/>
    <mergeCell ref="S26:T26"/>
    <mergeCell ref="R30:T30"/>
    <mergeCell ref="U30:W30"/>
    <mergeCell ref="X30:Z31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O32:Q32"/>
    <mergeCell ref="R32:T32"/>
    <mergeCell ref="U32:W32"/>
    <mergeCell ref="C33:E33"/>
    <mergeCell ref="F33:H33"/>
    <mergeCell ref="I33:K33"/>
    <mergeCell ref="L33:N33"/>
    <mergeCell ref="O33:Q33"/>
    <mergeCell ref="R33:T33"/>
    <mergeCell ref="U33:W33"/>
    <mergeCell ref="C32:E32"/>
    <mergeCell ref="F32:H32"/>
    <mergeCell ref="I32:K32"/>
    <mergeCell ref="L32:N32"/>
    <mergeCell ref="A35:A37"/>
    <mergeCell ref="C35:E35"/>
    <mergeCell ref="F35:H35"/>
    <mergeCell ref="I35:K35"/>
    <mergeCell ref="L35:N35"/>
    <mergeCell ref="O35:Q35"/>
    <mergeCell ref="X33:Z34"/>
    <mergeCell ref="C34:D34"/>
    <mergeCell ref="F34:G34"/>
    <mergeCell ref="I34:J34"/>
    <mergeCell ref="L34:M34"/>
    <mergeCell ref="O34:P34"/>
    <mergeCell ref="R34:S34"/>
    <mergeCell ref="U34:V34"/>
    <mergeCell ref="A30:A34"/>
    <mergeCell ref="R35:T35"/>
    <mergeCell ref="U35:W35"/>
    <mergeCell ref="X35:Z35"/>
    <mergeCell ref="C36:E36"/>
    <mergeCell ref="F36:H36"/>
    <mergeCell ref="I36:K36"/>
    <mergeCell ref="L36:N36"/>
    <mergeCell ref="O36:Q36"/>
    <mergeCell ref="R36:T36"/>
    <mergeCell ref="U36:W36"/>
    <mergeCell ref="X36:Z36"/>
    <mergeCell ref="C37:E37"/>
    <mergeCell ref="F37:H37"/>
    <mergeCell ref="I37:K37"/>
    <mergeCell ref="L37:N37"/>
    <mergeCell ref="O37:Q37"/>
    <mergeCell ref="R37:T37"/>
    <mergeCell ref="U37:W37"/>
    <mergeCell ref="X37:Z37"/>
    <mergeCell ref="A51:B51"/>
    <mergeCell ref="D51:E51"/>
    <mergeCell ref="G51:H51"/>
    <mergeCell ref="J51:K51"/>
    <mergeCell ref="M51:N51"/>
    <mergeCell ref="P51:Q51"/>
    <mergeCell ref="R44:S44"/>
    <mergeCell ref="U44:V44"/>
    <mergeCell ref="D48:E48"/>
    <mergeCell ref="G48:H48"/>
    <mergeCell ref="J48:K48"/>
    <mergeCell ref="M48:N48"/>
    <mergeCell ref="P48:Q48"/>
    <mergeCell ref="S48:T48"/>
    <mergeCell ref="V48:W48"/>
    <mergeCell ref="A44:B44"/>
    <mergeCell ref="C44:D44"/>
    <mergeCell ref="F44:G44"/>
    <mergeCell ref="I44:J44"/>
    <mergeCell ref="L44:M44"/>
    <mergeCell ref="O44:P44"/>
    <mergeCell ref="S51:T51"/>
    <mergeCell ref="V51:W51"/>
    <mergeCell ref="D52:E52"/>
    <mergeCell ref="G52:H52"/>
    <mergeCell ref="J52:K52"/>
    <mergeCell ref="M52:N52"/>
    <mergeCell ref="P52:Q52"/>
    <mergeCell ref="S52:T52"/>
    <mergeCell ref="V52:W52"/>
    <mergeCell ref="V53:W53"/>
    <mergeCell ref="C55:D55"/>
    <mergeCell ref="F55:G55"/>
    <mergeCell ref="I55:J55"/>
    <mergeCell ref="L55:M55"/>
    <mergeCell ref="O55:P55"/>
    <mergeCell ref="R55:S55"/>
    <mergeCell ref="U55:V55"/>
    <mergeCell ref="D53:E53"/>
    <mergeCell ref="G53:H53"/>
    <mergeCell ref="J53:K53"/>
    <mergeCell ref="M53:N53"/>
    <mergeCell ref="P53:Q53"/>
    <mergeCell ref="S53:T53"/>
    <mergeCell ref="R56:T56"/>
    <mergeCell ref="U56:W56"/>
    <mergeCell ref="A57:B57"/>
    <mergeCell ref="C57:E57"/>
    <mergeCell ref="F57:H57"/>
    <mergeCell ref="I57:K57"/>
    <mergeCell ref="L57:N57"/>
    <mergeCell ref="O57:Q57"/>
    <mergeCell ref="R57:T57"/>
    <mergeCell ref="U57:W57"/>
    <mergeCell ref="A56:B56"/>
    <mergeCell ref="C56:E56"/>
    <mergeCell ref="F56:H56"/>
    <mergeCell ref="I56:K56"/>
    <mergeCell ref="L56:N56"/>
    <mergeCell ref="O56:Q56"/>
    <mergeCell ref="A61:A64"/>
    <mergeCell ref="C61:E61"/>
    <mergeCell ref="F61:H61"/>
    <mergeCell ref="I61:K61"/>
    <mergeCell ref="L61:N61"/>
    <mergeCell ref="O61:Q61"/>
    <mergeCell ref="C63:E63"/>
    <mergeCell ref="F63:H63"/>
    <mergeCell ref="I63:K63"/>
    <mergeCell ref="L63:N63"/>
    <mergeCell ref="R61:T61"/>
    <mergeCell ref="U61:W61"/>
    <mergeCell ref="C62:E62"/>
    <mergeCell ref="F62:H62"/>
    <mergeCell ref="I62:K62"/>
    <mergeCell ref="L62:N62"/>
    <mergeCell ref="O62:Q62"/>
    <mergeCell ref="R62:T62"/>
    <mergeCell ref="U62:W62"/>
    <mergeCell ref="O63:Q63"/>
    <mergeCell ref="R63:T63"/>
    <mergeCell ref="U63:W63"/>
    <mergeCell ref="C64:E64"/>
    <mergeCell ref="F64:H64"/>
    <mergeCell ref="I64:K64"/>
    <mergeCell ref="L64:N64"/>
    <mergeCell ref="O64:Q64"/>
    <mergeCell ref="R64:T64"/>
    <mergeCell ref="U64:W64"/>
    <mergeCell ref="U12:W12"/>
    <mergeCell ref="AW12:AX12"/>
    <mergeCell ref="A12:A13"/>
    <mergeCell ref="C12:E12"/>
    <mergeCell ref="F12:H12"/>
    <mergeCell ref="I12:K12"/>
    <mergeCell ref="L12:N12"/>
    <mergeCell ref="O12:Q12"/>
    <mergeCell ref="R12:T12"/>
    <mergeCell ref="U13:W13"/>
    <mergeCell ref="AW13:AX13"/>
    <mergeCell ref="C13:E13"/>
    <mergeCell ref="F13:H13"/>
    <mergeCell ref="I13:K13"/>
    <mergeCell ref="L13:N13"/>
    <mergeCell ref="O13:Q13"/>
    <mergeCell ref="R13:T13"/>
  </mergeCells>
  <phoneticPr fontId="2"/>
  <conditionalFormatting sqref="C51">
    <cfRule type="cellIs" dxfId="20" priority="20" operator="equal">
      <formula>""</formula>
    </cfRule>
  </conditionalFormatting>
  <conditionalFormatting sqref="C35:W37">
    <cfRule type="cellIs" dxfId="19" priority="30" operator="greaterThan">
      <formula>0</formula>
    </cfRule>
    <cfRule type="cellIs" dxfId="18" priority="31" operator="lessThan">
      <formula>0</formula>
    </cfRule>
  </conditionalFormatting>
  <conditionalFormatting sqref="C62:W64">
    <cfRule type="cellIs" dxfId="17" priority="13" operator="greaterThan">
      <formula>0</formula>
    </cfRule>
    <cfRule type="cellIs" dxfId="16" priority="14" operator="lessThan">
      <formula>0</formula>
    </cfRule>
  </conditionalFormatting>
  <conditionalFormatting sqref="D8">
    <cfRule type="containsText" dxfId="15" priority="24" operator="containsText" text="1900">
      <formula>NOT(ISERROR(SEARCH("1900",D8)))</formula>
    </cfRule>
  </conditionalFormatting>
  <conditionalFormatting sqref="F51">
    <cfRule type="cellIs" dxfId="14" priority="19" operator="equal">
      <formula>""</formula>
    </cfRule>
  </conditionalFormatting>
  <conditionalFormatting sqref="G8">
    <cfRule type="containsText" dxfId="13" priority="23" operator="containsText" text="1900">
      <formula>NOT(ISERROR(SEARCH("1900",G8)))</formula>
    </cfRule>
  </conditionalFormatting>
  <conditionalFormatting sqref="I51">
    <cfRule type="cellIs" dxfId="12" priority="18" operator="equal">
      <formula>""</formula>
    </cfRule>
  </conditionalFormatting>
  <conditionalFormatting sqref="J8">
    <cfRule type="containsText" dxfId="11" priority="22" operator="containsText" text="1900">
      <formula>NOT(ISERROR(SEARCH("1900",J8)))</formula>
    </cfRule>
  </conditionalFormatting>
  <conditionalFormatting sqref="L51">
    <cfRule type="cellIs" dxfId="10" priority="17" operator="equal">
      <formula>""</formula>
    </cfRule>
  </conditionalFormatting>
  <conditionalFormatting sqref="M8">
    <cfRule type="containsText" dxfId="9" priority="21" operator="containsText" text="1900">
      <formula>NOT(ISERROR(SEARCH("1900",M8)))</formula>
    </cfRule>
  </conditionalFormatting>
  <conditionalFormatting sqref="O51">
    <cfRule type="cellIs" dxfId="8" priority="8" operator="equal">
      <formula>""</formula>
    </cfRule>
  </conditionalFormatting>
  <conditionalFormatting sqref="P8">
    <cfRule type="containsText" dxfId="7" priority="10" operator="containsText" text="1900">
      <formula>NOT(ISERROR(SEARCH("1900",P8)))</formula>
    </cfRule>
  </conditionalFormatting>
  <conditionalFormatting sqref="R51">
    <cfRule type="cellIs" dxfId="6" priority="3" operator="equal">
      <formula>""</formula>
    </cfRule>
  </conditionalFormatting>
  <conditionalFormatting sqref="S8">
    <cfRule type="containsText" dxfId="5" priority="4" operator="containsText" text="1900">
      <formula>NOT(ISERROR(SEARCH("1900",S8)))</formula>
    </cfRule>
  </conditionalFormatting>
  <conditionalFormatting sqref="U51">
    <cfRule type="cellIs" dxfId="4" priority="7" operator="equal">
      <formula>""</formula>
    </cfRule>
  </conditionalFormatting>
  <conditionalFormatting sqref="V8">
    <cfRule type="containsText" dxfId="3" priority="9" operator="containsText" text="1900">
      <formula>NOT(ISERROR(SEARCH("1900",V8)))</formula>
    </cfRule>
  </conditionalFormatting>
  <conditionalFormatting sqref="AE16:AF16">
    <cfRule type="cellIs" dxfId="2" priority="26" operator="equal">
      <formula>""</formula>
    </cfRule>
  </conditionalFormatting>
  <conditionalFormatting sqref="AH16:AI16">
    <cfRule type="cellIs" dxfId="1" priority="25" operator="equal">
      <formula>""</formula>
    </cfRule>
  </conditionalFormatting>
  <conditionalFormatting sqref="AW21:CV22 AW24 AY24 BA24 BC24 BE24 BG24">
    <cfRule type="cellIs" dxfId="0" priority="27" operator="greaterThan">
      <formula>0</formula>
    </cfRule>
  </conditionalFormatting>
  <dataValidations count="4">
    <dataValidation type="list" allowBlank="1" showInputMessage="1" showErrorMessage="1" sqref="C26 F26 O26 I26 L26 R26 U26" xr:uid="{7503DA9E-4D7E-4E47-8E99-1649A2C39F5D}">
      <formula1>"自主管理,集金代行,空室,通帳入金,サブリース,マスターリース,募集賃料,先賃,エステム特殊契約"</formula1>
    </dataValidation>
    <dataValidation type="list" allowBlank="1" showInputMessage="1" showErrorMessage="1" sqref="K4:N4 Q4 T4:W4" xr:uid="{72F1CFB4-39E3-DF49-A09D-F24D4E4EA46F}">
      <formula1>"〒153-0043　東京都目黒区東山1-4-4,〒154-0001　東京都世田谷区池尻2-37-12"</formula1>
    </dataValidation>
    <dataValidation type="list" allowBlank="1" showInputMessage="1" showErrorMessage="1" sqref="L2 U2" xr:uid="{204089A0-A3B6-4D41-B03E-6419469895C3}">
      <formula1>"株式会社エルズホーム,スマイルエージェント株式会社"</formula1>
    </dataValidation>
    <dataValidation type="list" allowBlank="1" showInputMessage="1" showErrorMessage="1" sqref="K5 Q5 T5" xr:uid="{1DAA391D-7B84-FB43-A6C3-64E457E404A5}">
      <formula1>"TEL：03-5794-5151　FAX：03-5794-5161,TEL：03-5433-1521　FAX：03-5433-1522"</formula1>
    </dataValidation>
  </dataValidations>
  <printOptions horizontalCentered="1"/>
  <pageMargins left="1.2204724409448819" right="0.23622047244094491" top="0" bottom="0" header="0.31496062992125984" footer="0.31496062992125984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運用</vt:lpstr>
      <vt:lpstr>運用!Print_Area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onnzihaizi@outlook.com</dc:creator>
  <cp:lastModifiedBy>onnzihaizi@outlook.com</cp:lastModifiedBy>
  <dcterms:created xsi:type="dcterms:W3CDTF">2026-09-10T17:05:31Z</dcterms:created>
  <dcterms:modified xsi:type="dcterms:W3CDTF">2026-09-11T10:03:36Z</dcterms:modified>
</cp:coreProperties>
</file>