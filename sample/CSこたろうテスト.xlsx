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dasan/Desktop/"/>
    </mc:Choice>
  </mc:AlternateContent>
  <xr:revisionPtr revIDLastSave="0" documentId="8_{BFCFE852-31D8-D54C-AF12-D5D42BB742FD}" xr6:coauthVersionLast="47" xr6:coauthVersionMax="47" xr10:uidLastSave="{00000000-0000-0000-0000-000000000000}"/>
  <bookViews>
    <workbookView xWindow="0" yWindow="660" windowWidth="34560" windowHeight="20060" xr2:uid="{D8239FF8-0CBD-1E45-B595-17EEB0B6B7DB}"/>
  </bookViews>
  <sheets>
    <sheet name="Sheet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6" i="1" l="1"/>
  <c r="N26" i="1" s="1"/>
  <c r="L27" i="1" s="1"/>
  <c r="L19" i="1"/>
  <c r="N17" i="1"/>
  <c r="L17" i="1"/>
  <c r="N15" i="1" s="1"/>
  <c r="L10" i="1"/>
  <c r="M3" i="1"/>
  <c r="I26" i="1"/>
  <c r="K26" i="1" s="1"/>
  <c r="I27" i="1" s="1"/>
  <c r="I19" i="1"/>
  <c r="K17" i="1"/>
  <c r="I17" i="1"/>
  <c r="K15" i="1"/>
  <c r="I10" i="1"/>
  <c r="J3" i="1"/>
  <c r="C10" i="1"/>
  <c r="F26" i="1"/>
  <c r="H26" i="1" s="1"/>
  <c r="F27" i="1" s="1"/>
  <c r="F19" i="1"/>
  <c r="F17" i="1"/>
  <c r="H17" i="1" s="1"/>
  <c r="G3" i="1"/>
  <c r="D3" i="1"/>
  <c r="C17" i="1"/>
  <c r="E15" i="1" s="1"/>
  <c r="B1" i="1"/>
  <c r="C26" i="1"/>
  <c r="E26" i="1" s="1"/>
  <c r="C19" i="1"/>
  <c r="L29" i="1" l="1"/>
  <c r="L28" i="1"/>
  <c r="I29" i="1"/>
  <c r="I28" i="1"/>
  <c r="F28" i="1"/>
  <c r="F10" i="1"/>
  <c r="H15" i="1"/>
  <c r="F29" i="1" s="1"/>
  <c r="E17" i="1"/>
  <c r="C27" i="1"/>
  <c r="C29" i="1"/>
  <c r="C28" i="1"/>
</calcChain>
</file>

<file path=xl/sharedStrings.xml><?xml version="1.0" encoding="utf-8"?>
<sst xmlns="http://schemas.openxmlformats.org/spreadsheetml/2006/main" count="31" uniqueCount="28">
  <si>
    <t>物件概要</t>
    <rPh sb="0" eb="4">
      <t>ブッケンガイヨウ</t>
    </rPh>
    <phoneticPr fontId="9"/>
  </si>
  <si>
    <t>管理会社</t>
    <rPh sb="0" eb="2">
      <t>カンリ</t>
    </rPh>
    <rPh sb="2" eb="4">
      <t>ガイシャ</t>
    </rPh>
    <phoneticPr fontId="9"/>
  </si>
  <si>
    <t>賃貸管理会社</t>
    <phoneticPr fontId="9"/>
  </si>
  <si>
    <t>建物管理会社</t>
    <rPh sb="0" eb="2">
      <t>タテモノ</t>
    </rPh>
    <rPh sb="2" eb="4">
      <t>カンリ</t>
    </rPh>
    <rPh sb="4" eb="6">
      <t>ガイシャ</t>
    </rPh>
    <phoneticPr fontId="9"/>
  </si>
  <si>
    <t>ローン概要</t>
    <rPh sb="3" eb="5">
      <t>ガイヨウ</t>
    </rPh>
    <phoneticPr fontId="9"/>
  </si>
  <si>
    <t>ローン会社</t>
    <rPh sb="3" eb="5">
      <t>カイシャ</t>
    </rPh>
    <phoneticPr fontId="9"/>
  </si>
  <si>
    <t>融資額</t>
    <rPh sb="0" eb="2">
      <t>ユウシ</t>
    </rPh>
    <rPh sb="2" eb="3">
      <t>ガク</t>
    </rPh>
    <phoneticPr fontId="9"/>
  </si>
  <si>
    <t>ご残債</t>
    <rPh sb="1" eb="3">
      <t>ザンサイ</t>
    </rPh>
    <phoneticPr fontId="9"/>
  </si>
  <si>
    <t>頭金(万)</t>
    <rPh sb="0" eb="2">
      <t>アタマキン</t>
    </rPh>
    <rPh sb="3" eb="4">
      <t>マン</t>
    </rPh>
    <phoneticPr fontId="9"/>
  </si>
  <si>
    <t>借換時期</t>
    <rPh sb="0" eb="2">
      <t>カリカエ</t>
    </rPh>
    <rPh sb="2" eb="4">
      <t>ジキ</t>
    </rPh>
    <phoneticPr fontId="9"/>
  </si>
  <si>
    <t>金利</t>
    <rPh sb="0" eb="2">
      <t>キンリ</t>
    </rPh>
    <phoneticPr fontId="9"/>
  </si>
  <si>
    <t>返済期間</t>
    <rPh sb="0" eb="2">
      <t>ヘンサイ</t>
    </rPh>
    <rPh sb="2" eb="4">
      <t>キカン</t>
    </rPh>
    <phoneticPr fontId="9"/>
  </si>
  <si>
    <t>～</t>
  </si>
  <si>
    <t>収入</t>
    <rPh sb="0" eb="2">
      <t>シュウニュウ</t>
    </rPh>
    <phoneticPr fontId="9"/>
  </si>
  <si>
    <t>家賃</t>
    <rPh sb="0" eb="2">
      <t>ヤチン</t>
    </rPh>
    <phoneticPr fontId="9"/>
  </si>
  <si>
    <t>ローン返済額</t>
    <rPh sb="3" eb="5">
      <t>ヘンサイ</t>
    </rPh>
    <rPh sb="5" eb="6">
      <t>ガク</t>
    </rPh>
    <phoneticPr fontId="9"/>
  </si>
  <si>
    <t>支出</t>
    <rPh sb="0" eb="2">
      <t>シシュツ</t>
    </rPh>
    <phoneticPr fontId="9"/>
  </si>
  <si>
    <t>管理費</t>
    <rPh sb="0" eb="3">
      <t>カンリヒ</t>
    </rPh>
    <phoneticPr fontId="9"/>
  </si>
  <si>
    <t>修繕費</t>
    <rPh sb="0" eb="3">
      <t>シュウゼンヒ</t>
    </rPh>
    <phoneticPr fontId="9"/>
  </si>
  <si>
    <r>
      <t>その他</t>
    </r>
    <r>
      <rPr>
        <b/>
        <sz val="10"/>
        <rFont val="BIZ UDPゴシック"/>
        <family val="3"/>
        <charset val="128"/>
      </rPr>
      <t>(保険)</t>
    </r>
    <rPh sb="2" eb="3">
      <t>タ</t>
    </rPh>
    <rPh sb="4" eb="6">
      <t>ホケン</t>
    </rPh>
    <phoneticPr fontId="9"/>
  </si>
  <si>
    <t>手数料</t>
    <rPh sb="0" eb="3">
      <t>テスウリョウ</t>
    </rPh>
    <phoneticPr fontId="9"/>
  </si>
  <si>
    <t>固定資産税</t>
    <rPh sb="0" eb="5">
      <t>コテイシサンゼイ</t>
    </rPh>
    <phoneticPr fontId="9"/>
  </si>
  <si>
    <t>収支</t>
    <rPh sb="0" eb="2">
      <t>シュウシ</t>
    </rPh>
    <phoneticPr fontId="9"/>
  </si>
  <si>
    <t>月間</t>
    <rPh sb="0" eb="2">
      <t>ゲッカン</t>
    </rPh>
    <phoneticPr fontId="9"/>
  </si>
  <si>
    <t>年間</t>
    <rPh sb="0" eb="2">
      <t>ネンカン</t>
    </rPh>
    <phoneticPr fontId="9"/>
  </si>
  <si>
    <t>完済までの
確定損益額</t>
    <rPh sb="0" eb="2">
      <t>カンサイ</t>
    </rPh>
    <rPh sb="6" eb="8">
      <t>カクテイ</t>
    </rPh>
    <rPh sb="8" eb="10">
      <t>ソンエキ</t>
    </rPh>
    <rPh sb="10" eb="11">
      <t>ガク</t>
    </rPh>
    <phoneticPr fontId="9"/>
  </si>
  <si>
    <t>駅徒歩</t>
    <rPh sb="0" eb="3">
      <t>エキトホ</t>
    </rPh>
    <phoneticPr fontId="9"/>
  </si>
  <si>
    <t>物件住所</t>
    <rPh sb="0" eb="2">
      <t>ブッケン</t>
    </rPh>
    <rPh sb="2" eb="4">
      <t>ジュウショ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</si>
</sst>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###0&quot;階建&quot;"/>
    <numFmt numFmtId="177" formatCode="#,##0&quot;戸&quot;"/>
    <numFmt numFmtId="178" formatCode="###0&quot;号室&quot;"/>
    <numFmt numFmtId="179" formatCode="###0&quot;年築&quot;"/>
    <numFmt numFmtId="180" formatCode="&quot;築&quot;###0&quot;年&quot;"/>
    <numFmt numFmtId="181" formatCode="#,##0.00&quot;㎡&quot;"/>
    <numFmt numFmtId="182" formatCode="#,##0&quot;円&quot;"/>
    <numFmt numFmtId="183" formatCode="yyyy&quot;年&quot;m&quot;月時点&quot;"/>
    <numFmt numFmtId="184" formatCode="0&quot;万&quot;"/>
    <numFmt numFmtId="185" formatCode="yyyy&quot;年&quot;m&quot;月&quot;&quot;に&quot;&quot;借&quot;&quot;換&quot;"/>
    <numFmt numFmtId="186" formatCode="0.000%"/>
    <numFmt numFmtId="187" formatCode="yyyy&quot;年&quot;m&quot;月&quot;;@"/>
    <numFmt numFmtId="188" formatCode="&quot;残&quot;General&quot;ヶ月&quot;"/>
    <numFmt numFmtId="189" formatCode="General&quot;年&quot;"/>
    <numFmt numFmtId="190" formatCode="#,##0&quot;円／年&quot;"/>
    <numFmt numFmtId="191" formatCode="#,##0&quot;円／月&quot;"/>
  </numFmts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28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b/>
      <sz val="14"/>
      <name val="BIZ UDPゴシック"/>
      <family val="3"/>
      <charset val="128"/>
    </font>
    <font>
      <sz val="28"/>
      <name val="BIZ UDPゴシック"/>
      <family val="3"/>
      <charset val="128"/>
    </font>
    <font>
      <sz val="14"/>
      <name val="BIZ UDPゴシック"/>
      <family val="3"/>
      <charset val="128"/>
    </font>
    <font>
      <sz val="12"/>
      <name val="BIZ UDPゴシック"/>
      <family val="3"/>
      <charset val="128"/>
    </font>
    <font>
      <b/>
      <sz val="16"/>
      <name val="BIZ UDPゴシック"/>
      <family val="3"/>
      <charset val="128"/>
    </font>
    <font>
      <sz val="6"/>
      <name val="ＭＳ Ｐゴシック"/>
      <family val="3"/>
      <charset val="128"/>
    </font>
    <font>
      <sz val="16"/>
      <name val="BIZ UDPゴシック"/>
      <family val="3"/>
      <charset val="128"/>
    </font>
    <font>
      <b/>
      <sz val="18"/>
      <name val="BIZ UDPゴシック"/>
      <family val="3"/>
      <charset val="128"/>
    </font>
    <font>
      <sz val="20"/>
      <name val="BIZ UDPゴシック"/>
      <family val="3"/>
      <charset val="128"/>
    </font>
    <font>
      <sz val="24"/>
      <name val="BIZ UDPゴシック"/>
      <family val="3"/>
      <charset val="128"/>
    </font>
    <font>
      <b/>
      <sz val="22"/>
      <name val="BIZ UDPゴシック"/>
      <family val="3"/>
      <charset val="128"/>
    </font>
    <font>
      <b/>
      <sz val="20"/>
      <name val="BIZ UDPゴシック"/>
      <family val="3"/>
      <charset val="128"/>
    </font>
    <font>
      <sz val="16"/>
      <color rgb="FF0000FF"/>
      <name val="BIZ UDPゴシック"/>
      <family val="3"/>
      <charset val="128"/>
    </font>
    <font>
      <sz val="20"/>
      <color rgb="FF0000FF"/>
      <name val="BIZ UDPゴシック"/>
      <family val="3"/>
      <charset val="128"/>
    </font>
    <font>
      <sz val="20"/>
      <color rgb="FFFF0000"/>
      <name val="BIZ UDPゴシック"/>
      <family val="3"/>
      <charset val="128"/>
    </font>
    <font>
      <b/>
      <sz val="10"/>
      <name val="BIZ UDPゴシック"/>
      <family val="3"/>
      <charset val="128"/>
    </font>
    <font>
      <b/>
      <sz val="26"/>
      <name val="BIZ UD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5" fillId="0" borderId="0" xfId="0" applyFont="1" applyAlignment="1" applyProtection="1">
      <alignment vertical="center" wrapText="1"/>
      <protection locked="0"/>
    </xf>
    <xf numFmtId="176" fontId="6" fillId="0" borderId="4" xfId="0" applyNumberFormat="1" applyFont="1" applyBorder="1" applyAlignment="1" applyProtection="1">
      <alignment horizontal="center" vertical="center"/>
      <protection locked="0"/>
    </xf>
    <xf numFmtId="177" fontId="6" fillId="0" borderId="0" xfId="0" applyNumberFormat="1" applyFont="1" applyAlignment="1" applyProtection="1">
      <alignment horizontal="center" vertical="center"/>
      <protection locked="0"/>
    </xf>
    <xf numFmtId="178" fontId="6" fillId="0" borderId="5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9" fontId="4" fillId="0" borderId="6" xfId="0" applyNumberFormat="1" applyFont="1" applyBorder="1" applyAlignment="1" applyProtection="1">
      <alignment horizontal="center" vertical="center" wrapText="1"/>
      <protection locked="0"/>
    </xf>
    <xf numFmtId="180" fontId="4" fillId="0" borderId="7" xfId="0" applyNumberFormat="1" applyFont="1" applyBorder="1" applyAlignment="1">
      <alignment horizontal="center" vertical="center" wrapText="1"/>
    </xf>
    <xf numFmtId="181" fontId="4" fillId="0" borderId="8" xfId="0" applyNumberFormat="1" applyFont="1" applyBorder="1" applyAlignment="1" applyProtection="1">
      <alignment horizontal="center" vertical="center" wrapText="1"/>
      <protection locked="0"/>
    </xf>
    <xf numFmtId="0" fontId="8" fillId="4" borderId="9" xfId="0" applyFont="1" applyFill="1" applyBorder="1" applyAlignment="1" applyProtection="1">
      <alignment horizontal="center" vertical="center" wrapText="1"/>
      <protection locked="0"/>
    </xf>
    <xf numFmtId="0" fontId="4" fillId="4" borderId="13" xfId="0" applyFont="1" applyFill="1" applyBorder="1" applyAlignment="1" applyProtection="1">
      <alignment horizontal="center"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11" fillId="4" borderId="18" xfId="0" applyFont="1" applyFill="1" applyBorder="1" applyAlignment="1" applyProtection="1">
      <alignment horizontal="center" vertical="center"/>
      <protection locked="0"/>
    </xf>
    <xf numFmtId="0" fontId="11" fillId="4" borderId="22" xfId="0" applyFont="1" applyFill="1" applyBorder="1" applyAlignment="1" applyProtection="1">
      <alignment horizontal="center" vertical="center"/>
      <protection locked="0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189" fontId="6" fillId="0" borderId="34" xfId="0" applyNumberFormat="1" applyFont="1" applyBorder="1" applyAlignment="1">
      <alignment horizontal="right" vertical="center" wrapText="1"/>
    </xf>
    <xf numFmtId="0" fontId="8" fillId="3" borderId="35" xfId="0" applyFont="1" applyFill="1" applyBorder="1" applyAlignment="1" applyProtection="1">
      <alignment vertical="center" textRotation="255"/>
      <protection locked="0"/>
    </xf>
    <xf numFmtId="0" fontId="15" fillId="4" borderId="36" xfId="0" applyFont="1" applyFill="1" applyBorder="1" applyAlignment="1" applyProtection="1">
      <alignment horizontal="center" vertical="center" wrapText="1"/>
      <protection locked="0"/>
    </xf>
    <xf numFmtId="182" fontId="16" fillId="0" borderId="37" xfId="0" applyNumberFormat="1" applyFont="1" applyBorder="1" applyAlignment="1" applyProtection="1">
      <alignment vertical="center" wrapText="1"/>
      <protection locked="0"/>
    </xf>
    <xf numFmtId="0" fontId="4" fillId="3" borderId="12" xfId="0" applyFont="1" applyFill="1" applyBorder="1" applyAlignment="1" applyProtection="1">
      <alignment vertical="center" textRotation="255"/>
      <protection locked="0"/>
    </xf>
    <xf numFmtId="0" fontId="8" fillId="4" borderId="13" xfId="0" applyFont="1" applyFill="1" applyBorder="1" applyAlignment="1" applyProtection="1">
      <alignment horizontal="center" vertical="center"/>
      <protection locked="0"/>
    </xf>
    <xf numFmtId="0" fontId="8" fillId="4" borderId="25" xfId="0" applyFont="1" applyFill="1" applyBorder="1" applyAlignment="1" applyProtection="1">
      <alignment horizontal="center" vertical="center"/>
      <protection locked="0"/>
    </xf>
    <xf numFmtId="0" fontId="4" fillId="4" borderId="25" xfId="0" applyFont="1" applyFill="1" applyBorder="1" applyAlignment="1" applyProtection="1">
      <alignment horizontal="center" vertical="center" wrapText="1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191" fontId="18" fillId="0" borderId="29" xfId="0" applyNumberFormat="1" applyFont="1" applyBorder="1" applyAlignment="1" applyProtection="1">
      <alignment vertical="center" shrinkToFit="1"/>
      <protection locked="0"/>
    </xf>
    <xf numFmtId="0" fontId="11" fillId="4" borderId="46" xfId="0" applyFont="1" applyFill="1" applyBorder="1" applyAlignment="1" applyProtection="1">
      <alignment horizontal="center" vertical="center"/>
      <protection locked="0"/>
    </xf>
    <xf numFmtId="0" fontId="11" fillId="4" borderId="48" xfId="0" applyFont="1" applyFill="1" applyBorder="1" applyAlignment="1" applyProtection="1">
      <alignment horizontal="center" vertical="center"/>
      <protection locked="0"/>
    </xf>
    <xf numFmtId="0" fontId="11" fillId="6" borderId="50" xfId="0" applyFont="1" applyFill="1" applyBorder="1" applyAlignment="1" applyProtection="1">
      <alignment horizontal="center" vertical="center" wrapText="1"/>
      <protection locked="0"/>
    </xf>
    <xf numFmtId="0" fontId="8" fillId="3" borderId="45" xfId="0" applyFont="1" applyFill="1" applyBorder="1" applyAlignment="1" applyProtection="1">
      <alignment horizontal="center" vertical="center" textRotation="255"/>
      <protection locked="0"/>
    </xf>
    <xf numFmtId="0" fontId="8" fillId="3" borderId="47" xfId="0" applyFont="1" applyFill="1" applyBorder="1" applyAlignment="1" applyProtection="1">
      <alignment horizontal="center" vertical="center" textRotation="255"/>
      <protection locked="0"/>
    </xf>
    <xf numFmtId="0" fontId="8" fillId="3" borderId="49" xfId="0" applyFont="1" applyFill="1" applyBorder="1" applyAlignment="1" applyProtection="1">
      <alignment horizontal="center" vertical="center" textRotation="255"/>
      <protection locked="0"/>
    </xf>
    <xf numFmtId="38" fontId="20" fillId="0" borderId="19" xfId="1" applyFont="1" applyBorder="1" applyAlignment="1" applyProtection="1">
      <alignment horizontal="center" vertical="center"/>
    </xf>
    <xf numFmtId="38" fontId="20" fillId="0" borderId="20" xfId="1" applyFont="1" applyBorder="1" applyAlignment="1" applyProtection="1">
      <alignment horizontal="center" vertical="center"/>
    </xf>
    <xf numFmtId="38" fontId="20" fillId="0" borderId="21" xfId="1" applyFont="1" applyBorder="1" applyAlignment="1" applyProtection="1">
      <alignment horizontal="center" vertical="center"/>
    </xf>
    <xf numFmtId="38" fontId="20" fillId="0" borderId="23" xfId="1" applyFont="1" applyBorder="1" applyAlignment="1" applyProtection="1">
      <alignment horizontal="center" vertical="center"/>
    </xf>
    <xf numFmtId="38" fontId="20" fillId="0" borderId="24" xfId="1" applyFont="1" applyBorder="1" applyAlignment="1" applyProtection="1">
      <alignment horizontal="center" vertical="center"/>
    </xf>
    <xf numFmtId="38" fontId="20" fillId="0" borderId="25" xfId="1" applyFont="1" applyBorder="1" applyAlignment="1" applyProtection="1">
      <alignment horizontal="center" vertical="center"/>
    </xf>
    <xf numFmtId="38" fontId="20" fillId="0" borderId="51" xfId="1" applyFont="1" applyBorder="1" applyAlignment="1" applyProtection="1">
      <alignment horizontal="center" vertical="center" shrinkToFit="1"/>
    </xf>
    <xf numFmtId="38" fontId="20" fillId="0" borderId="50" xfId="1" applyFont="1" applyBorder="1" applyAlignment="1" applyProtection="1">
      <alignment horizontal="center" vertical="center" shrinkToFit="1"/>
    </xf>
    <xf numFmtId="38" fontId="20" fillId="0" borderId="34" xfId="1" applyFont="1" applyBorder="1" applyAlignment="1" applyProtection="1">
      <alignment horizontal="center" vertical="center" shrinkToFit="1"/>
    </xf>
    <xf numFmtId="179" fontId="6" fillId="0" borderId="10" xfId="0" applyNumberFormat="1" applyFont="1" applyBorder="1" applyAlignment="1" applyProtection="1">
      <alignment horizontal="center" vertical="center" wrapText="1"/>
      <protection locked="0"/>
    </xf>
    <xf numFmtId="179" fontId="6" fillId="0" borderId="11" xfId="0" applyNumberFormat="1" applyFont="1" applyBorder="1" applyAlignment="1" applyProtection="1">
      <alignment horizontal="center" vertical="center" wrapText="1"/>
      <protection locked="0"/>
    </xf>
    <xf numFmtId="0" fontId="8" fillId="3" borderId="52" xfId="0" applyFont="1" applyFill="1" applyBorder="1" applyAlignment="1" applyProtection="1">
      <alignment horizontal="center" vertical="center" textRotation="255"/>
      <protection locked="0"/>
    </xf>
    <xf numFmtId="0" fontId="8" fillId="3" borderId="15" xfId="0" applyFont="1" applyFill="1" applyBorder="1" applyAlignment="1" applyProtection="1">
      <alignment horizontal="center" vertical="center" textRotation="255"/>
      <protection locked="0"/>
    </xf>
    <xf numFmtId="38" fontId="17" fillId="0" borderId="38" xfId="1" applyFont="1" applyBorder="1" applyAlignment="1" applyProtection="1">
      <alignment horizontal="center" vertical="center"/>
      <protection locked="0"/>
    </xf>
    <xf numFmtId="38" fontId="17" fillId="0" borderId="36" xfId="1" applyFont="1" applyBorder="1" applyAlignment="1" applyProtection="1">
      <alignment horizontal="center" vertical="center"/>
      <protection locked="0"/>
    </xf>
    <xf numFmtId="0" fontId="4" fillId="4" borderId="39" xfId="0" applyFont="1" applyFill="1" applyBorder="1" applyAlignment="1" applyProtection="1">
      <alignment horizontal="center" vertical="center" wrapText="1"/>
      <protection locked="0"/>
    </xf>
    <xf numFmtId="0" fontId="4" fillId="4" borderId="32" xfId="0" applyFont="1" applyFill="1" applyBorder="1" applyAlignment="1" applyProtection="1">
      <alignment horizontal="center" vertical="center" wrapText="1"/>
      <protection locked="0"/>
    </xf>
    <xf numFmtId="0" fontId="4" fillId="4" borderId="18" xfId="0" applyFont="1" applyFill="1" applyBorder="1" applyAlignment="1" applyProtection="1">
      <alignment horizontal="center" vertical="center" wrapText="1"/>
      <protection locked="0"/>
    </xf>
    <xf numFmtId="38" fontId="18" fillId="0" borderId="40" xfId="1" applyFont="1" applyFill="1" applyBorder="1" applyAlignment="1" applyProtection="1">
      <alignment horizontal="center" vertical="center" shrinkToFit="1"/>
      <protection locked="0"/>
    </xf>
    <xf numFmtId="38" fontId="18" fillId="0" borderId="41" xfId="1" applyFont="1" applyFill="1" applyBorder="1" applyAlignment="1" applyProtection="1">
      <alignment horizontal="center" vertical="center" shrinkToFit="1"/>
      <protection locked="0"/>
    </xf>
    <xf numFmtId="38" fontId="18" fillId="0" borderId="42" xfId="1" applyFont="1" applyFill="1" applyBorder="1" applyAlignment="1" applyProtection="1">
      <alignment horizontal="center" vertical="center" shrinkToFit="1"/>
      <protection locked="0"/>
    </xf>
    <xf numFmtId="38" fontId="18" fillId="0" borderId="4" xfId="1" applyFont="1" applyFill="1" applyBorder="1" applyAlignment="1" applyProtection="1">
      <alignment horizontal="center" vertical="center" shrinkToFit="1"/>
      <protection locked="0"/>
    </xf>
    <xf numFmtId="38" fontId="18" fillId="0" borderId="0" xfId="1" applyFont="1" applyFill="1" applyBorder="1" applyAlignment="1" applyProtection="1">
      <alignment horizontal="center" vertical="center" shrinkToFit="1"/>
      <protection locked="0"/>
    </xf>
    <xf numFmtId="38" fontId="18" fillId="0" borderId="5" xfId="1" applyFont="1" applyFill="1" applyBorder="1" applyAlignment="1" applyProtection="1">
      <alignment horizontal="center" vertical="center" shrinkToFit="1"/>
      <protection locked="0"/>
    </xf>
    <xf numFmtId="38" fontId="18" fillId="0" borderId="30" xfId="1" applyFont="1" applyFill="1" applyBorder="1" applyAlignment="1" applyProtection="1">
      <alignment horizontal="center" vertical="center" shrinkToFit="1"/>
      <protection locked="0"/>
    </xf>
    <xf numFmtId="38" fontId="18" fillId="0" borderId="31" xfId="1" applyFont="1" applyFill="1" applyBorder="1" applyAlignment="1" applyProtection="1">
      <alignment horizontal="center" vertical="center" shrinkToFit="1"/>
      <protection locked="0"/>
    </xf>
    <xf numFmtId="38" fontId="18" fillId="0" borderId="13" xfId="1" applyFont="1" applyFill="1" applyBorder="1" applyAlignment="1" applyProtection="1">
      <alignment horizontal="center" vertical="center" shrinkToFit="1"/>
      <protection locked="0"/>
    </xf>
    <xf numFmtId="0" fontId="8" fillId="3" borderId="12" xfId="0" applyFont="1" applyFill="1" applyBorder="1" applyAlignment="1" applyProtection="1">
      <alignment horizontal="center" vertical="center" textRotation="255"/>
      <protection locked="0"/>
    </xf>
    <xf numFmtId="38" fontId="18" fillId="0" borderId="23" xfId="1" applyFont="1" applyBorder="1" applyAlignment="1" applyProtection="1">
      <alignment horizontal="center" vertical="center"/>
      <protection locked="0"/>
    </xf>
    <xf numFmtId="38" fontId="18" fillId="0" borderId="24" xfId="1" applyFont="1" applyBorder="1" applyAlignment="1" applyProtection="1">
      <alignment horizontal="center" vertical="center"/>
      <protection locked="0"/>
    </xf>
    <xf numFmtId="38" fontId="18" fillId="0" borderId="25" xfId="1" applyFont="1" applyBorder="1" applyAlignment="1" applyProtection="1">
      <alignment horizontal="center" vertical="center"/>
      <protection locked="0"/>
    </xf>
    <xf numFmtId="38" fontId="18" fillId="2" borderId="23" xfId="1" applyFont="1" applyFill="1" applyBorder="1" applyAlignment="1" applyProtection="1">
      <alignment horizontal="center" vertical="center"/>
      <protection locked="0"/>
    </xf>
    <xf numFmtId="38" fontId="18" fillId="2" borderId="24" xfId="1" applyFont="1" applyFill="1" applyBorder="1" applyAlignment="1" applyProtection="1">
      <alignment horizontal="center" vertical="center"/>
      <protection locked="0"/>
    </xf>
    <xf numFmtId="38" fontId="18" fillId="2" borderId="25" xfId="1" applyFont="1" applyFill="1" applyBorder="1" applyAlignment="1" applyProtection="1">
      <alignment horizontal="center" vertical="center"/>
      <protection locked="0"/>
    </xf>
    <xf numFmtId="190" fontId="18" fillId="0" borderId="43" xfId="0" applyNumberFormat="1" applyFont="1" applyBorder="1" applyAlignment="1" applyProtection="1">
      <alignment horizontal="center" vertical="center"/>
      <protection locked="0"/>
    </xf>
    <xf numFmtId="190" fontId="18" fillId="0" borderId="44" xfId="0" applyNumberFormat="1" applyFont="1" applyBorder="1" applyAlignment="1" applyProtection="1">
      <alignment horizontal="center" vertical="center"/>
      <protection locked="0"/>
    </xf>
    <xf numFmtId="38" fontId="12" fillId="0" borderId="30" xfId="1" applyFont="1" applyFill="1" applyBorder="1" applyAlignment="1" applyProtection="1">
      <alignment horizontal="center" vertical="center" wrapText="1"/>
      <protection locked="0"/>
    </xf>
    <xf numFmtId="38" fontId="12" fillId="0" borderId="31" xfId="1" applyFont="1" applyFill="1" applyBorder="1" applyAlignment="1" applyProtection="1">
      <alignment horizontal="center" vertical="center" wrapText="1"/>
      <protection locked="0"/>
    </xf>
    <xf numFmtId="38" fontId="12" fillId="0" borderId="13" xfId="1" applyFont="1" applyFill="1" applyBorder="1" applyAlignment="1" applyProtection="1">
      <alignment horizontal="center" vertical="center" wrapText="1"/>
      <protection locked="0"/>
    </xf>
    <xf numFmtId="184" fontId="13" fillId="0" borderId="23" xfId="1" applyNumberFormat="1" applyFont="1" applyFill="1" applyBorder="1" applyAlignment="1" applyProtection="1">
      <alignment horizontal="center" vertical="center" wrapText="1"/>
      <protection locked="0"/>
    </xf>
    <xf numFmtId="184" fontId="13" fillId="0" borderId="24" xfId="1" applyNumberFormat="1" applyFont="1" applyFill="1" applyBorder="1" applyAlignment="1" applyProtection="1">
      <alignment horizontal="center" vertical="center" wrapText="1"/>
      <protection locked="0"/>
    </xf>
    <xf numFmtId="184" fontId="13" fillId="0" borderId="25" xfId="1" applyNumberFormat="1" applyFont="1" applyFill="1" applyBorder="1" applyAlignment="1" applyProtection="1">
      <alignment horizontal="center" vertical="center" wrapText="1"/>
      <protection locked="0"/>
    </xf>
    <xf numFmtId="185" fontId="12" fillId="0" borderId="23" xfId="1" applyNumberFormat="1" applyFont="1" applyFill="1" applyBorder="1" applyAlignment="1" applyProtection="1">
      <alignment horizontal="center" vertical="center" wrapText="1"/>
      <protection locked="0"/>
    </xf>
    <xf numFmtId="185" fontId="12" fillId="0" borderId="24" xfId="1" applyNumberFormat="1" applyFont="1" applyFill="1" applyBorder="1" applyAlignment="1" applyProtection="1">
      <alignment horizontal="center" vertical="center" wrapText="1"/>
      <protection locked="0"/>
    </xf>
    <xf numFmtId="185" fontId="12" fillId="0" borderId="25" xfId="1" applyNumberFormat="1" applyFont="1" applyFill="1" applyBorder="1" applyAlignment="1" applyProtection="1">
      <alignment horizontal="center" vertical="center" wrapText="1"/>
      <protection locked="0"/>
    </xf>
    <xf numFmtId="186" fontId="12" fillId="0" borderId="23" xfId="0" applyNumberFormat="1" applyFont="1" applyBorder="1" applyAlignment="1" applyProtection="1">
      <alignment horizontal="center" vertical="center" wrapText="1"/>
      <protection locked="0"/>
    </xf>
    <xf numFmtId="186" fontId="12" fillId="0" borderId="24" xfId="0" applyNumberFormat="1" applyFont="1" applyBorder="1" applyAlignment="1" applyProtection="1">
      <alignment horizontal="center" vertical="center" wrapText="1"/>
      <protection locked="0"/>
    </xf>
    <xf numFmtId="186" fontId="12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4" borderId="26" xfId="0" applyFont="1" applyFill="1" applyBorder="1" applyAlignment="1" applyProtection="1">
      <alignment horizontal="center" vertical="center"/>
      <protection locked="0"/>
    </xf>
    <xf numFmtId="0" fontId="11" fillId="4" borderId="32" xfId="0" applyFont="1" applyFill="1" applyBorder="1" applyAlignment="1" applyProtection="1">
      <alignment horizontal="center" vertical="center"/>
      <protection locked="0"/>
    </xf>
    <xf numFmtId="0" fontId="11" fillId="4" borderId="33" xfId="0" applyFont="1" applyFill="1" applyBorder="1" applyAlignment="1" applyProtection="1">
      <alignment horizontal="center" vertical="center"/>
      <protection locked="0"/>
    </xf>
    <xf numFmtId="187" fontId="6" fillId="0" borderId="27" xfId="0" applyNumberFormat="1" applyFont="1" applyBorder="1" applyAlignment="1" applyProtection="1">
      <alignment horizontal="center" vertical="center" wrapText="1"/>
      <protection locked="0"/>
    </xf>
    <xf numFmtId="187" fontId="6" fillId="0" borderId="28" xfId="0" applyNumberFormat="1" applyFont="1" applyBorder="1" applyAlignment="1" applyProtection="1">
      <alignment horizontal="center" vertical="center" wrapText="1"/>
      <protection locked="0"/>
    </xf>
    <xf numFmtId="188" fontId="6" fillId="0" borderId="29" xfId="0" applyNumberFormat="1" applyFont="1" applyBorder="1" applyAlignment="1">
      <alignment horizontal="right" vertical="center" wrapText="1"/>
    </xf>
    <xf numFmtId="188" fontId="6" fillId="0" borderId="5" xfId="0" applyNumberFormat="1" applyFont="1" applyBorder="1" applyAlignment="1">
      <alignment horizontal="right" vertical="center" wrapText="1"/>
    </xf>
    <xf numFmtId="186" fontId="14" fillId="0" borderId="4" xfId="0" applyNumberFormat="1" applyFont="1" applyBorder="1" applyAlignment="1">
      <alignment horizontal="center" vertical="center" wrapText="1"/>
    </xf>
    <xf numFmtId="186" fontId="14" fillId="0" borderId="0" xfId="0" applyNumberFormat="1" applyFont="1" applyAlignment="1">
      <alignment horizontal="center" vertical="center" wrapText="1"/>
    </xf>
    <xf numFmtId="187" fontId="6" fillId="0" borderId="30" xfId="0" applyNumberFormat="1" applyFont="1" applyBorder="1" applyAlignment="1" applyProtection="1">
      <alignment horizontal="center" vertical="center" wrapText="1"/>
      <protection locked="0"/>
    </xf>
    <xf numFmtId="187" fontId="6" fillId="0" borderId="31" xfId="0" applyNumberFormat="1" applyFont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shrinkToFit="1"/>
      <protection locked="0"/>
    </xf>
    <xf numFmtId="0" fontId="4" fillId="2" borderId="2" xfId="0" applyFont="1" applyFill="1" applyBorder="1" applyAlignment="1" applyProtection="1">
      <alignment horizontal="center" vertical="center" shrinkToFit="1"/>
      <protection locked="0"/>
    </xf>
    <xf numFmtId="0" fontId="4" fillId="2" borderId="3" xfId="0" applyFont="1" applyFill="1" applyBorder="1" applyAlignment="1" applyProtection="1">
      <alignment horizontal="center" vertical="center" shrinkToFit="1"/>
      <protection locked="0"/>
    </xf>
    <xf numFmtId="182" fontId="10" fillId="0" borderId="14" xfId="0" applyNumberFormat="1" applyFont="1" applyBorder="1" applyAlignment="1" applyProtection="1">
      <alignment horizontal="center" vertical="center" shrinkToFit="1"/>
      <protection locked="0"/>
    </xf>
    <xf numFmtId="182" fontId="10" fillId="0" borderId="17" xfId="0" applyNumberFormat="1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 shrinkToFit="1"/>
      <protection locked="0"/>
    </xf>
    <xf numFmtId="0" fontId="12" fillId="0" borderId="20" xfId="0" applyFont="1" applyBorder="1" applyAlignment="1" applyProtection="1">
      <alignment horizontal="center" vertical="center" shrinkToFit="1"/>
      <protection locked="0"/>
    </xf>
    <xf numFmtId="0" fontId="12" fillId="0" borderId="21" xfId="0" applyFont="1" applyBorder="1" applyAlignment="1" applyProtection="1">
      <alignment horizontal="center" vertical="center" shrinkToFit="1"/>
      <protection locked="0"/>
    </xf>
    <xf numFmtId="38" fontId="12" fillId="0" borderId="23" xfId="1" applyFont="1" applyFill="1" applyBorder="1" applyAlignment="1" applyProtection="1">
      <alignment horizontal="center" vertical="center"/>
      <protection locked="0"/>
    </xf>
    <xf numFmtId="38" fontId="12" fillId="0" borderId="24" xfId="1" applyFont="1" applyFill="1" applyBorder="1" applyAlignment="1" applyProtection="1">
      <alignment horizontal="center" vertical="center"/>
      <protection locked="0"/>
    </xf>
    <xf numFmtId="38" fontId="12" fillId="0" borderId="25" xfId="1" applyFont="1" applyFill="1" applyBorder="1" applyAlignment="1" applyProtection="1">
      <alignment horizontal="center" vertical="center"/>
      <protection locked="0"/>
    </xf>
    <xf numFmtId="0" fontId="11" fillId="4" borderId="26" xfId="0" applyFont="1" applyFill="1" applyBorder="1" applyAlignment="1" applyProtection="1">
      <alignment horizontal="center" vertical="center" wrapText="1"/>
      <protection locked="0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183" fontId="10" fillId="5" borderId="27" xfId="0" applyNumberFormat="1" applyFont="1" applyFill="1" applyBorder="1" applyAlignment="1" applyProtection="1">
      <alignment horizontal="center" vertical="center"/>
      <protection locked="0"/>
    </xf>
    <xf numFmtId="183" fontId="10" fillId="5" borderId="28" xfId="0" applyNumberFormat="1" applyFont="1" applyFill="1" applyBorder="1" applyAlignment="1" applyProtection="1">
      <alignment horizontal="center" vertical="center"/>
      <protection locked="0"/>
    </xf>
    <xf numFmtId="183" fontId="10" fillId="5" borderId="29" xfId="0" applyNumberFormat="1" applyFont="1" applyFill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vertical="center" wrapText="1"/>
      <protection locked="0"/>
    </xf>
    <xf numFmtId="177" fontId="6" fillId="0" borderId="0" xfId="0" applyNumberFormat="1" applyFont="1" applyBorder="1" applyAlignment="1" applyProtection="1">
      <alignment horizontal="center" vertical="center"/>
      <protection locked="0"/>
    </xf>
    <xf numFmtId="179" fontId="6" fillId="0" borderId="53" xfId="0" applyNumberFormat="1" applyFont="1" applyBorder="1" applyAlignment="1" applyProtection="1">
      <alignment horizontal="center" vertical="center" wrapText="1"/>
      <protection locked="0"/>
    </xf>
  </cellXfs>
  <cellStyles count="2">
    <cellStyle name="桁区切り" xfId="1" builtinId="6"/>
    <cellStyle name="標準" xfId="0" builtinId="0"/>
  </cellStyles>
  <dxfs count="26"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ill>
        <patternFill>
          <bgColor rgb="FFFBF7A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oshidasan/Desktop/&#27096;%20&#12452;&#12531;&#12469;&#12452;&#12488;&#12441;%20CS&#65288;2026&#24180;&#65289;&#8251;&#38306;&#25968;&#26377;&#12426;%20&#12398;&#12467;&#12498;&#12442;&#12540;.xlsx" TargetMode="External"/><Relationship Id="rId1" Type="http://schemas.openxmlformats.org/officeDocument/2006/relationships/externalLinkPath" Target="&#27096;%20&#12452;&#12531;&#12469;&#12452;&#12488;&#12441;%20CS&#65288;2026&#24180;&#65289;&#8251;&#38306;&#25968;&#26377;&#12426;%20&#12398;&#12467;&#12498;&#12442;&#12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銀行"/>
      <sheetName val="表紙"/>
      <sheetName val="運用"/>
      <sheetName val="過去売却"/>
      <sheetName val="下落"/>
      <sheetName val="管積"/>
      <sheetName val="空室・完済売却"/>
      <sheetName val="回収率"/>
      <sheetName val="購入時"/>
      <sheetName val="売却S"/>
      <sheetName val="5年後"/>
      <sheetName val="10年後"/>
      <sheetName val="売却S 差額借入S"/>
      <sheetName val="○年後"/>
      <sheetName val="譲渡税"/>
      <sheetName val="還付計算"/>
      <sheetName val="生命保険"/>
      <sheetName val="利回り表"/>
      <sheetName val="残債evi無"/>
      <sheetName val="残債evi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9FEF-859A-2846-9065-2C96E9D17D94}">
  <dimension ref="A1:N30"/>
  <sheetViews>
    <sheetView tabSelected="1" workbookViewId="0">
      <selection activeCell="P5" sqref="P5"/>
    </sheetView>
  </sheetViews>
  <sheetFormatPr baseColWidth="10" defaultRowHeight="20"/>
  <cols>
    <col min="2" max="2" width="23.140625" customWidth="1"/>
  </cols>
  <sheetData>
    <row r="1" spans="1:14" ht="33">
      <c r="A1" s="1">
        <v>2026</v>
      </c>
      <c r="B1" s="106">
        <f ca="1">TODAY()</f>
        <v>46276</v>
      </c>
      <c r="C1" s="90"/>
      <c r="D1" s="91"/>
      <c r="E1" s="92"/>
      <c r="F1" s="90"/>
      <c r="G1" s="91"/>
      <c r="H1" s="92"/>
      <c r="I1" s="90"/>
      <c r="J1" s="91"/>
      <c r="K1" s="92"/>
      <c r="L1" s="90"/>
      <c r="M1" s="91"/>
      <c r="N1" s="92"/>
    </row>
    <row r="2" spans="1:14" ht="33">
      <c r="A2" s="1"/>
      <c r="C2" s="2"/>
      <c r="D2" s="3"/>
      <c r="E2" s="4"/>
      <c r="F2" s="2"/>
      <c r="G2" s="3"/>
      <c r="H2" s="4"/>
      <c r="I2" s="2"/>
      <c r="J2" s="3"/>
      <c r="K2" s="4"/>
      <c r="L2" s="2"/>
      <c r="M2" s="107"/>
      <c r="N2" s="4"/>
    </row>
    <row r="3" spans="1:14" ht="21" thickBot="1">
      <c r="A3" s="5"/>
      <c r="B3" s="5"/>
      <c r="C3" s="6"/>
      <c r="D3" s="7" t="str">
        <f>IF(C1="","",$A$1-C3)</f>
        <v/>
      </c>
      <c r="E3" s="8"/>
      <c r="F3" s="6"/>
      <c r="G3" s="7" t="str">
        <f>IF(F1="","",$A$1-F3)</f>
        <v/>
      </c>
      <c r="H3" s="8"/>
      <c r="I3" s="6"/>
      <c r="J3" s="7" t="str">
        <f>IF(I1="","",$A$1-I3)</f>
        <v/>
      </c>
      <c r="K3" s="8"/>
      <c r="L3" s="6"/>
      <c r="M3" s="7" t="str">
        <f>IF(L1="","",$A$1-L3)</f>
        <v/>
      </c>
      <c r="N3" s="8"/>
    </row>
    <row r="4" spans="1:14" ht="60" customHeight="1" thickBot="1">
      <c r="A4" s="42" t="s">
        <v>0</v>
      </c>
      <c r="B4" s="9" t="s">
        <v>27</v>
      </c>
      <c r="C4" s="40"/>
      <c r="D4" s="41"/>
      <c r="E4" s="41"/>
      <c r="F4" s="40"/>
      <c r="G4" s="41"/>
      <c r="H4" s="41"/>
      <c r="I4" s="40"/>
      <c r="J4" s="41"/>
      <c r="K4" s="41"/>
      <c r="L4" s="40"/>
      <c r="M4" s="41"/>
      <c r="N4" s="108"/>
    </row>
    <row r="5" spans="1:14" ht="60" customHeight="1" thickTop="1" thickBot="1">
      <c r="A5" s="43"/>
      <c r="B5" s="9" t="s">
        <v>26</v>
      </c>
      <c r="C5" s="40"/>
      <c r="D5" s="41"/>
      <c r="E5" s="41"/>
      <c r="F5" s="40"/>
      <c r="G5" s="41"/>
      <c r="H5" s="41"/>
      <c r="I5" s="40"/>
      <c r="J5" s="41"/>
      <c r="K5" s="41"/>
      <c r="L5" s="40"/>
      <c r="M5" s="41"/>
      <c r="N5" s="108"/>
    </row>
    <row r="6" spans="1:14" ht="21" thickTop="1">
      <c r="A6" s="58" t="s">
        <v>1</v>
      </c>
      <c r="B6" s="10" t="s">
        <v>2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</row>
    <row r="7" spans="1:14" ht="21" thickBot="1">
      <c r="A7" s="43"/>
      <c r="B7" s="11" t="s">
        <v>3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</row>
    <row r="8" spans="1:14" ht="58" customHeight="1" thickTop="1">
      <c r="A8" s="58" t="s">
        <v>4</v>
      </c>
      <c r="B8" s="12" t="s">
        <v>5</v>
      </c>
      <c r="C8" s="95"/>
      <c r="D8" s="96"/>
      <c r="E8" s="97"/>
      <c r="F8" s="95"/>
      <c r="G8" s="96"/>
      <c r="H8" s="97"/>
      <c r="I8" s="95"/>
      <c r="J8" s="96"/>
      <c r="K8" s="97"/>
      <c r="L8" s="95"/>
      <c r="M8" s="96"/>
      <c r="N8" s="97"/>
    </row>
    <row r="9" spans="1:14" ht="58" customHeight="1">
      <c r="A9" s="58"/>
      <c r="B9" s="13" t="s">
        <v>6</v>
      </c>
      <c r="C9" s="98"/>
      <c r="D9" s="99"/>
      <c r="E9" s="100"/>
      <c r="F9" s="98"/>
      <c r="G9" s="99"/>
      <c r="H9" s="100"/>
      <c r="I9" s="98"/>
      <c r="J9" s="99"/>
      <c r="K9" s="100"/>
      <c r="L9" s="98"/>
      <c r="M9" s="99"/>
      <c r="N9" s="100"/>
    </row>
    <row r="10" spans="1:14" ht="35" customHeight="1">
      <c r="A10" s="58"/>
      <c r="B10" s="101" t="s">
        <v>7</v>
      </c>
      <c r="C10" s="103" t="str">
        <f>IF(C9&lt;&gt;"", DATE(YEAR($B$1), MONTH($B$1)+3, 1), "")</f>
        <v/>
      </c>
      <c r="D10" s="104"/>
      <c r="E10" s="105"/>
      <c r="F10" s="103" t="str">
        <f>IF(F9&lt;&gt;"", DATE(YEAR($B$1), MONTH($B$1)+3, 1), "")</f>
        <v/>
      </c>
      <c r="G10" s="104"/>
      <c r="H10" s="105"/>
      <c r="I10" s="103" t="str">
        <f>IF(I9&lt;&gt;"", DATE(YEAR($B$1), MONTH($B$1)+3, 1), "")</f>
        <v/>
      </c>
      <c r="J10" s="104"/>
      <c r="K10" s="105"/>
      <c r="L10" s="103" t="str">
        <f>IF(L9&lt;&gt;"", DATE(YEAR($B$1), MONTH($B$1)+3, 1), "")</f>
        <v/>
      </c>
      <c r="M10" s="104"/>
      <c r="N10" s="105"/>
    </row>
    <row r="11" spans="1:14" ht="58" customHeight="1">
      <c r="A11" s="58"/>
      <c r="B11" s="102"/>
      <c r="C11" s="67"/>
      <c r="D11" s="68"/>
      <c r="E11" s="69"/>
      <c r="F11" s="67"/>
      <c r="G11" s="68"/>
      <c r="H11" s="69"/>
      <c r="I11" s="67"/>
      <c r="J11" s="68"/>
      <c r="K11" s="69"/>
      <c r="L11" s="67"/>
      <c r="M11" s="68"/>
      <c r="N11" s="69"/>
    </row>
    <row r="12" spans="1:14" ht="58" customHeight="1">
      <c r="A12" s="58"/>
      <c r="B12" s="14" t="s">
        <v>8</v>
      </c>
      <c r="C12" s="70"/>
      <c r="D12" s="71"/>
      <c r="E12" s="72"/>
      <c r="F12" s="70"/>
      <c r="G12" s="71"/>
      <c r="H12" s="72"/>
      <c r="I12" s="70"/>
      <c r="J12" s="71"/>
      <c r="K12" s="72"/>
      <c r="L12" s="70"/>
      <c r="M12" s="71"/>
      <c r="N12" s="72"/>
    </row>
    <row r="13" spans="1:14" ht="58" customHeight="1">
      <c r="A13" s="58"/>
      <c r="B13" s="14" t="s">
        <v>9</v>
      </c>
      <c r="C13" s="73"/>
      <c r="D13" s="74"/>
      <c r="E13" s="75"/>
      <c r="F13" s="73"/>
      <c r="G13" s="74"/>
      <c r="H13" s="75"/>
      <c r="I13" s="73"/>
      <c r="J13" s="74"/>
      <c r="K13" s="75"/>
      <c r="L13" s="73"/>
      <c r="M13" s="74"/>
      <c r="N13" s="75"/>
    </row>
    <row r="14" spans="1:14" ht="58" customHeight="1">
      <c r="A14" s="58"/>
      <c r="B14" s="13" t="s">
        <v>10</v>
      </c>
      <c r="C14" s="76"/>
      <c r="D14" s="77"/>
      <c r="E14" s="78"/>
      <c r="F14" s="76"/>
      <c r="G14" s="77"/>
      <c r="H14" s="78"/>
      <c r="I14" s="76"/>
      <c r="J14" s="77"/>
      <c r="K14" s="78"/>
      <c r="L14" s="76"/>
      <c r="M14" s="77"/>
      <c r="N14" s="78"/>
    </row>
    <row r="15" spans="1:14">
      <c r="A15" s="58"/>
      <c r="B15" s="79" t="s">
        <v>11</v>
      </c>
      <c r="C15" s="82"/>
      <c r="D15" s="83"/>
      <c r="E15" s="84" t="str">
        <f>IFERROR(IF(C17=0,"",DATEDIF($C$8,C17,"ｍ")),"")</f>
        <v/>
      </c>
      <c r="F15" s="82"/>
      <c r="G15" s="83"/>
      <c r="H15" s="84" t="str">
        <f>IFERROR(IF(F17=0,"",DATEDIF($C$8,F17,"ｍ")),"")</f>
        <v/>
      </c>
      <c r="I15" s="82"/>
      <c r="J15" s="83"/>
      <c r="K15" s="84" t="str">
        <f>IFERROR(IF(I17=0,"",DATEDIF($C$8,I17,"ｍ")),"")</f>
        <v/>
      </c>
      <c r="L15" s="82"/>
      <c r="M15" s="83"/>
      <c r="N15" s="84" t="str">
        <f>IFERROR(IF(L17=0,"",DATEDIF($C$8,L17,"ｍ")),"")</f>
        <v/>
      </c>
    </row>
    <row r="16" spans="1:14" ht="26" customHeight="1">
      <c r="A16" s="58"/>
      <c r="B16" s="80"/>
      <c r="C16" s="86" t="s">
        <v>12</v>
      </c>
      <c r="D16" s="87"/>
      <c r="E16" s="85"/>
      <c r="F16" s="86" t="s">
        <v>12</v>
      </c>
      <c r="G16" s="87"/>
      <c r="H16" s="85"/>
      <c r="I16" s="86" t="s">
        <v>12</v>
      </c>
      <c r="J16" s="87"/>
      <c r="K16" s="85"/>
      <c r="L16" s="86" t="s">
        <v>12</v>
      </c>
      <c r="M16" s="87"/>
      <c r="N16" s="85"/>
    </row>
    <row r="17" spans="1:14" ht="21" thickBot="1">
      <c r="A17" s="43"/>
      <c r="B17" s="81"/>
      <c r="C17" s="88" t="str">
        <f>IF(C15&lt;&gt;"", EDATE(C15, IF(C8="アプラス", 25*12, 35*12)), "")</f>
        <v/>
      </c>
      <c r="D17" s="89"/>
      <c r="E17" s="15" t="str">
        <f>IF(C15=0,"",DATEDIF(C15,C17,"y"))</f>
        <v/>
      </c>
      <c r="F17" s="88" t="str">
        <f>IF(F15&lt;&gt;"", EDATE(F15, IF(F8="アプラス", 25*12, 35*12)), "")</f>
        <v/>
      </c>
      <c r="G17" s="89"/>
      <c r="H17" s="15" t="str">
        <f>IF(F15=0,"",DATEDIF(F15,F17,"y"))</f>
        <v/>
      </c>
      <c r="I17" s="88" t="str">
        <f>IF(I15&lt;&gt;"", EDATE(I15, IF(I8="アプラス", 25*12, 35*12)), "")</f>
        <v/>
      </c>
      <c r="J17" s="89"/>
      <c r="K17" s="15" t="str">
        <f>IF(I15=0,"",DATEDIF(I15,I17,"y"))</f>
        <v/>
      </c>
      <c r="L17" s="88" t="str">
        <f>IF(L15&lt;&gt;"", EDATE(L15, IF(L8="アプラス", 25*12, 35*12)), "")</f>
        <v/>
      </c>
      <c r="M17" s="89"/>
      <c r="N17" s="15" t="str">
        <f>IF(L15=0,"",DATEDIF(L15,L17,"y"))</f>
        <v/>
      </c>
    </row>
    <row r="18" spans="1:14" ht="42" thickTop="1" thickBot="1">
      <c r="A18" s="16" t="s">
        <v>13</v>
      </c>
      <c r="B18" s="17" t="s">
        <v>14</v>
      </c>
      <c r="C18" s="18"/>
      <c r="D18" s="44"/>
      <c r="E18" s="45"/>
      <c r="F18" s="18"/>
      <c r="G18" s="44"/>
      <c r="H18" s="45"/>
      <c r="I18" s="18"/>
      <c r="J18" s="44"/>
      <c r="K18" s="45"/>
      <c r="L18" s="18"/>
      <c r="M18" s="44"/>
      <c r="N18" s="45"/>
    </row>
    <row r="19" spans="1:14" ht="21" customHeight="1" thickTop="1">
      <c r="A19" s="19"/>
      <c r="B19" s="46" t="s">
        <v>15</v>
      </c>
      <c r="C19" s="49" t="str">
        <f>IFERROR([1]残債evi無!#REF!,"")</f>
        <v/>
      </c>
      <c r="D19" s="50"/>
      <c r="E19" s="51"/>
      <c r="F19" s="49" t="str">
        <f>IFERROR([1]残債evi無!#REF!,"")</f>
        <v/>
      </c>
      <c r="G19" s="50"/>
      <c r="H19" s="51"/>
      <c r="I19" s="49" t="str">
        <f>IFERROR([1]残債evi無!#REF!,"")</f>
        <v/>
      </c>
      <c r="J19" s="50"/>
      <c r="K19" s="51"/>
      <c r="L19" s="49" t="str">
        <f>IFERROR([1]残債evi無!#REF!,"")</f>
        <v/>
      </c>
      <c r="M19" s="50"/>
      <c r="N19" s="51"/>
    </row>
    <row r="20" spans="1:14" ht="20" customHeight="1">
      <c r="A20" s="19"/>
      <c r="B20" s="47"/>
      <c r="C20" s="52"/>
      <c r="D20" s="53"/>
      <c r="E20" s="54"/>
      <c r="F20" s="52"/>
      <c r="G20" s="53"/>
      <c r="H20" s="54"/>
      <c r="I20" s="52"/>
      <c r="J20" s="53"/>
      <c r="K20" s="54"/>
      <c r="L20" s="52"/>
      <c r="M20" s="53"/>
      <c r="N20" s="54"/>
    </row>
    <row r="21" spans="1:14" ht="20" customHeight="1">
      <c r="A21" s="19"/>
      <c r="B21" s="48"/>
      <c r="C21" s="55"/>
      <c r="D21" s="56"/>
      <c r="E21" s="57"/>
      <c r="F21" s="55"/>
      <c r="G21" s="56"/>
      <c r="H21" s="57"/>
      <c r="I21" s="55"/>
      <c r="J21" s="56"/>
      <c r="K21" s="57"/>
      <c r="L21" s="55"/>
      <c r="M21" s="56"/>
      <c r="N21" s="57"/>
    </row>
    <row r="22" spans="1:14" ht="24">
      <c r="A22" s="58" t="s">
        <v>16</v>
      </c>
      <c r="B22" s="20" t="s">
        <v>17</v>
      </c>
      <c r="C22" s="59"/>
      <c r="D22" s="60"/>
      <c r="E22" s="61"/>
      <c r="F22" s="59"/>
      <c r="G22" s="60"/>
      <c r="H22" s="61"/>
      <c r="I22" s="59"/>
      <c r="J22" s="60"/>
      <c r="K22" s="61"/>
      <c r="L22" s="59"/>
      <c r="M22" s="60"/>
      <c r="N22" s="61"/>
    </row>
    <row r="23" spans="1:14" ht="24">
      <c r="A23" s="58"/>
      <c r="B23" s="21" t="s">
        <v>18</v>
      </c>
      <c r="C23" s="59"/>
      <c r="D23" s="60"/>
      <c r="E23" s="61"/>
      <c r="F23" s="59"/>
      <c r="G23" s="60"/>
      <c r="H23" s="61"/>
      <c r="I23" s="59"/>
      <c r="J23" s="60"/>
      <c r="K23" s="61"/>
      <c r="L23" s="59"/>
      <c r="M23" s="60"/>
      <c r="N23" s="61"/>
    </row>
    <row r="24" spans="1:14" ht="24">
      <c r="A24" s="58"/>
      <c r="B24" s="22" t="s">
        <v>19</v>
      </c>
      <c r="C24" s="62"/>
      <c r="D24" s="63"/>
      <c r="E24" s="64"/>
      <c r="F24" s="62"/>
      <c r="G24" s="63"/>
      <c r="H24" s="64"/>
      <c r="I24" s="62"/>
      <c r="J24" s="63"/>
      <c r="K24" s="64"/>
      <c r="L24" s="62"/>
      <c r="M24" s="63"/>
      <c r="N24" s="64"/>
    </row>
    <row r="25" spans="1:14" ht="24">
      <c r="A25" s="58"/>
      <c r="B25" s="22" t="s">
        <v>20</v>
      </c>
      <c r="C25" s="62"/>
      <c r="D25" s="63"/>
      <c r="E25" s="64"/>
      <c r="F25" s="62"/>
      <c r="G25" s="63"/>
      <c r="H25" s="64"/>
      <c r="I25" s="62"/>
      <c r="J25" s="63"/>
      <c r="K25" s="64"/>
      <c r="L25" s="62"/>
      <c r="M25" s="63"/>
      <c r="N25" s="64"/>
    </row>
    <row r="26" spans="1:14" ht="25" thickBot="1">
      <c r="A26" s="58"/>
      <c r="B26" s="23" t="s">
        <v>21</v>
      </c>
      <c r="C26" s="65" t="str">
        <f>IF(C1="","",59000)</f>
        <v/>
      </c>
      <c r="D26" s="66"/>
      <c r="E26" s="24" t="str">
        <f>IFERROR(C26/12,"")</f>
        <v/>
      </c>
      <c r="F26" s="65" t="str">
        <f>IF(F1="","",59000)</f>
        <v/>
      </c>
      <c r="G26" s="66"/>
      <c r="H26" s="24" t="str">
        <f>IFERROR(F26/12,"")</f>
        <v/>
      </c>
      <c r="I26" s="65" t="str">
        <f>IF(I1="","",59000)</f>
        <v/>
      </c>
      <c r="J26" s="66"/>
      <c r="K26" s="24" t="str">
        <f>IFERROR(I26/12,"")</f>
        <v/>
      </c>
      <c r="L26" s="65" t="str">
        <f>IF(L1="","",59000)</f>
        <v/>
      </c>
      <c r="M26" s="66"/>
      <c r="N26" s="24" t="str">
        <f>IFERROR(L26/12,"")</f>
        <v/>
      </c>
    </row>
    <row r="27" spans="1:14" ht="32" thickTop="1">
      <c r="A27" s="28" t="s">
        <v>22</v>
      </c>
      <c r="B27" s="25" t="s">
        <v>23</v>
      </c>
      <c r="C27" s="31" t="str">
        <f>IFERROR(IF(D18-SUM(C19:C25)-E26=0,"",D18-SUM(C19:C25)-E26),"")</f>
        <v/>
      </c>
      <c r="D27" s="32"/>
      <c r="E27" s="33"/>
      <c r="F27" s="31" t="str">
        <f>IFERROR(IF(G18-SUM(F19:F25)-H26=0,"",G18-SUM(F19:F25)-H26),"")</f>
        <v/>
      </c>
      <c r="G27" s="32"/>
      <c r="H27" s="33"/>
      <c r="I27" s="31" t="str">
        <f>IFERROR(IF(J18-SUM(I19:I25)-K26=0,"",J18-SUM(I19:I25)-K26),"")</f>
        <v/>
      </c>
      <c r="J27" s="32"/>
      <c r="K27" s="33"/>
      <c r="L27" s="31" t="str">
        <f>IFERROR(IF(M18-SUM(L19:L25)-N26=0,"",M18-SUM(L19:L25)-N26),"")</f>
        <v/>
      </c>
      <c r="M27" s="32"/>
      <c r="N27" s="33"/>
    </row>
    <row r="28" spans="1:14" ht="31">
      <c r="A28" s="29"/>
      <c r="B28" s="26" t="s">
        <v>24</v>
      </c>
      <c r="C28" s="34" t="str">
        <f>IF(C27="","",C27*12)</f>
        <v/>
      </c>
      <c r="D28" s="35"/>
      <c r="E28" s="36"/>
      <c r="F28" s="34" t="str">
        <f>IF(F27="","",F27*12)</f>
        <v/>
      </c>
      <c r="G28" s="35"/>
      <c r="H28" s="36"/>
      <c r="I28" s="34" t="str">
        <f>IF(I27="","",I27*12)</f>
        <v/>
      </c>
      <c r="J28" s="35"/>
      <c r="K28" s="36"/>
      <c r="L28" s="34" t="str">
        <f>IF(L27="","",L27*12)</f>
        <v/>
      </c>
      <c r="M28" s="35"/>
      <c r="N28" s="36"/>
    </row>
    <row r="29" spans="1:14" ht="47" thickBot="1">
      <c r="A29" s="30"/>
      <c r="B29" s="27" t="s">
        <v>25</v>
      </c>
      <c r="C29" s="37" t="str">
        <f>IF(OR(C27="",E15=""),"",C27*E15)</f>
        <v/>
      </c>
      <c r="D29" s="38"/>
      <c r="E29" s="39"/>
      <c r="F29" s="37" t="str">
        <f>IF(OR(F27="",H15=""),"",F27*H15)</f>
        <v/>
      </c>
      <c r="G29" s="38"/>
      <c r="H29" s="39"/>
      <c r="I29" s="37" t="str">
        <f>IF(OR(I27="",K15=""),"",I27*K15)</f>
        <v/>
      </c>
      <c r="J29" s="38"/>
      <c r="K29" s="39"/>
      <c r="L29" s="37" t="str">
        <f>IF(OR(L27="",N15=""),"",L27*N15)</f>
        <v/>
      </c>
      <c r="M29" s="38"/>
      <c r="N29" s="39"/>
    </row>
    <row r="30" spans="1:14" ht="21" thickTop="1"/>
  </sheetData>
  <mergeCells count="112">
    <mergeCell ref="L29:N29"/>
    <mergeCell ref="L24:N24"/>
    <mergeCell ref="L25:N25"/>
    <mergeCell ref="L26:M26"/>
    <mergeCell ref="L27:N27"/>
    <mergeCell ref="L28:N28"/>
    <mergeCell ref="L17:M17"/>
    <mergeCell ref="M18:N18"/>
    <mergeCell ref="L19:N21"/>
    <mergeCell ref="L22:N22"/>
    <mergeCell ref="L23:N23"/>
    <mergeCell ref="I29:K29"/>
    <mergeCell ref="L1:N1"/>
    <mergeCell ref="L4:N4"/>
    <mergeCell ref="L5:N5"/>
    <mergeCell ref="L6:N6"/>
    <mergeCell ref="L7:N7"/>
    <mergeCell ref="L8:N8"/>
    <mergeCell ref="L9:N9"/>
    <mergeCell ref="L10:N10"/>
    <mergeCell ref="L11:N11"/>
    <mergeCell ref="L12:N12"/>
    <mergeCell ref="L13:N13"/>
    <mergeCell ref="L14:N14"/>
    <mergeCell ref="L15:M15"/>
    <mergeCell ref="N15:N16"/>
    <mergeCell ref="L16:M16"/>
    <mergeCell ref="I24:K24"/>
    <mergeCell ref="I25:K25"/>
    <mergeCell ref="I26:J26"/>
    <mergeCell ref="I27:K27"/>
    <mergeCell ref="I28:K28"/>
    <mergeCell ref="I17:J17"/>
    <mergeCell ref="J18:K18"/>
    <mergeCell ref="I19:K21"/>
    <mergeCell ref="I22:K22"/>
    <mergeCell ref="I23:K23"/>
    <mergeCell ref="F29:H29"/>
    <mergeCell ref="I1:K1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J15"/>
    <mergeCell ref="K15:K16"/>
    <mergeCell ref="I16:J16"/>
    <mergeCell ref="F24:H24"/>
    <mergeCell ref="F25:H25"/>
    <mergeCell ref="F26:G26"/>
    <mergeCell ref="F27:H27"/>
    <mergeCell ref="F28:H28"/>
    <mergeCell ref="F17:G17"/>
    <mergeCell ref="G18:H18"/>
    <mergeCell ref="F19:H21"/>
    <mergeCell ref="F22:H22"/>
    <mergeCell ref="F23:H23"/>
    <mergeCell ref="F13:H13"/>
    <mergeCell ref="F14:H14"/>
    <mergeCell ref="F15:G15"/>
    <mergeCell ref="H15:H16"/>
    <mergeCell ref="F16:G16"/>
    <mergeCell ref="F8:H8"/>
    <mergeCell ref="F9:H9"/>
    <mergeCell ref="F10:H10"/>
    <mergeCell ref="F11:H11"/>
    <mergeCell ref="F12:H12"/>
    <mergeCell ref="F1:H1"/>
    <mergeCell ref="F4:H4"/>
    <mergeCell ref="F5:H5"/>
    <mergeCell ref="F6:H6"/>
    <mergeCell ref="F7:H7"/>
    <mergeCell ref="A8:A17"/>
    <mergeCell ref="C8:E8"/>
    <mergeCell ref="C9:E9"/>
    <mergeCell ref="B10:B11"/>
    <mergeCell ref="C10:E10"/>
    <mergeCell ref="C1:E1"/>
    <mergeCell ref="C4:E4"/>
    <mergeCell ref="A6:A7"/>
    <mergeCell ref="C6:E6"/>
    <mergeCell ref="C7:E7"/>
    <mergeCell ref="C12:E12"/>
    <mergeCell ref="C13:E13"/>
    <mergeCell ref="C14:E14"/>
    <mergeCell ref="B15:B17"/>
    <mergeCell ref="C15:D15"/>
    <mergeCell ref="E15:E16"/>
    <mergeCell ref="C16:D16"/>
    <mergeCell ref="C17:D17"/>
    <mergeCell ref="A27:A29"/>
    <mergeCell ref="C27:E27"/>
    <mergeCell ref="C28:E28"/>
    <mergeCell ref="C29:E29"/>
    <mergeCell ref="C5:E5"/>
    <mergeCell ref="A4:A5"/>
    <mergeCell ref="D18:E18"/>
    <mergeCell ref="B19:B21"/>
    <mergeCell ref="C19:E21"/>
    <mergeCell ref="A22:A26"/>
    <mergeCell ref="C22:E22"/>
    <mergeCell ref="C23:E23"/>
    <mergeCell ref="C24:E24"/>
    <mergeCell ref="C25:E25"/>
    <mergeCell ref="C26:D26"/>
    <mergeCell ref="C11:E11"/>
  </mergeCells>
  <phoneticPr fontId="3"/>
  <conditionalFormatting sqref="C3 C15:D15 D18:E18 E3:F3 F15:G15 G18:H18 H3:I3 I15:J15 J18:K18 K3:L3 L15:M15 M18:N18 N3 C1:N2 C4:N5 C7:N9 C12:N12 C14:N14 C22:N25">
    <cfRule type="containsBlanks" dxfId="25" priority="21">
      <formula>LEN(TRIM(C1))=0</formula>
    </cfRule>
  </conditionalFormatting>
  <conditionalFormatting sqref="C27:E29">
    <cfRule type="cellIs" dxfId="24" priority="24" operator="greaterThan">
      <formula>0</formula>
    </cfRule>
    <cfRule type="cellIs" dxfId="23" priority="25" operator="lessThan">
      <formula>0</formula>
    </cfRule>
  </conditionalFormatting>
  <conditionalFormatting sqref="D3">
    <cfRule type="cellIs" dxfId="22" priority="22" operator="between">
      <formula>30</formula>
      <formula>70</formula>
    </cfRule>
    <cfRule type="cellIs" dxfId="21" priority="23" operator="between">
      <formula>20</formula>
      <formula>29</formula>
    </cfRule>
  </conditionalFormatting>
  <conditionalFormatting sqref="E17">
    <cfRule type="cellIs" dxfId="20" priority="26" operator="lessThan">
      <formula>10</formula>
    </cfRule>
  </conditionalFormatting>
  <conditionalFormatting sqref="F27:H29">
    <cfRule type="cellIs" dxfId="14" priority="13" operator="greaterThan">
      <formula>0</formula>
    </cfRule>
    <cfRule type="cellIs" dxfId="13" priority="14" operator="lessThan">
      <formula>0</formula>
    </cfRule>
  </conditionalFormatting>
  <conditionalFormatting sqref="G3">
    <cfRule type="cellIs" dxfId="12" priority="11" operator="between">
      <formula>30</formula>
      <formula>70</formula>
    </cfRule>
    <cfRule type="cellIs" dxfId="11" priority="12" operator="between">
      <formula>20</formula>
      <formula>29</formula>
    </cfRule>
  </conditionalFormatting>
  <conditionalFormatting sqref="H17">
    <cfRule type="cellIs" dxfId="10" priority="15" operator="lessThan">
      <formula>10</formula>
    </cfRule>
  </conditionalFormatting>
  <conditionalFormatting sqref="I27:K29">
    <cfRule type="cellIs" dxfId="9" priority="8" operator="greaterThan">
      <formula>0</formula>
    </cfRule>
    <cfRule type="cellIs" dxfId="8" priority="9" operator="lessThan">
      <formula>0</formula>
    </cfRule>
  </conditionalFormatting>
  <conditionalFormatting sqref="J3">
    <cfRule type="cellIs" dxfId="7" priority="6" operator="between">
      <formula>30</formula>
      <formula>70</formula>
    </cfRule>
    <cfRule type="cellIs" dxfId="6" priority="7" operator="between">
      <formula>20</formula>
      <formula>29</formula>
    </cfRule>
  </conditionalFormatting>
  <conditionalFormatting sqref="K17">
    <cfRule type="cellIs" dxfId="5" priority="10" operator="lessThan">
      <formula>10</formula>
    </cfRule>
  </conditionalFormatting>
  <conditionalFormatting sqref="L27:N29">
    <cfRule type="cellIs" dxfId="4" priority="3" operator="greaterThan">
      <formula>0</formula>
    </cfRule>
    <cfRule type="cellIs" dxfId="3" priority="4" operator="lessThan">
      <formula>0</formula>
    </cfRule>
  </conditionalFormatting>
  <conditionalFormatting sqref="M3">
    <cfRule type="cellIs" dxfId="2" priority="1" operator="between">
      <formula>30</formula>
      <formula>70</formula>
    </cfRule>
    <cfRule type="cellIs" dxfId="1" priority="2" operator="between">
      <formula>20</formula>
      <formula>29</formula>
    </cfRule>
  </conditionalFormatting>
  <conditionalFormatting sqref="N17">
    <cfRule type="cellIs" dxfId="0" priority="5" operator="lessThan">
      <formula>10</formula>
    </cfRule>
  </conditionalFormatting>
  <dataValidations count="1">
    <dataValidation type="list" allowBlank="1" showInputMessage="1" showErrorMessage="1" sqref="C18 F18 I18 L18" xr:uid="{779087AD-0721-4B4B-B9B1-B4AF7A8C847E}">
      <formula1>"自主管理,集金代行,空室,通帳入金,サブリース,マスターリース,募集賃料,先賃,エステム特殊契約"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onnzihaizi@outlook.com</dc:creator>
  <cp:lastModifiedBy>onnzihaizi@outlook.com</cp:lastModifiedBy>
  <dcterms:created xsi:type="dcterms:W3CDTF">2026-09-10T17:05:31Z</dcterms:created>
  <dcterms:modified xsi:type="dcterms:W3CDTF">2026-09-10T17:22:51Z</dcterms:modified>
</cp:coreProperties>
</file>